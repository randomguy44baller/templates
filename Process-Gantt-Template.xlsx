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m/d"/>
    <numFmt numFmtId="166" formatCode="0.0"/>
    <numFmt numFmtId="167" formatCode="mm/dd/yy hh:mm"/>
    <numFmt numFmtId="168" formatCode="m/d/yy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ptos Narrow"/>
      <b val="1"/>
      <sz val="11"/>
    </font>
    <font>
      <name val="Aptos Narrow"/>
      <sz val="11"/>
    </font>
    <font>
      <name val="Aptos Narrow"/>
      <b val="1"/>
      <color rgb="000E2841"/>
      <sz val="16"/>
    </font>
    <font>
      <name val="Aptos Narrow"/>
      <i val="1"/>
      <color rgb="005B7DB1"/>
      <sz val="9"/>
    </font>
    <font>
      <name val="Aptos Narrow"/>
      <b val="1"/>
      <color rgb="00FFFFFF"/>
      <sz val="11"/>
    </font>
    <font>
      <name val="Aptos Narrow"/>
      <b val="1"/>
      <color rgb="00FFFFFF"/>
      <sz val="8"/>
    </font>
    <font>
      <name val="Aptos Narrow"/>
      <b val="1"/>
      <color rgb="00595959"/>
      <sz val="9"/>
    </font>
    <font>
      <name val="Aptos Narrow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F1FB"/>
      </patternFill>
    </fill>
    <fill>
      <patternFill patternType="solid">
        <fgColor rgb="000E2841"/>
      </patternFill>
    </fill>
  </fills>
  <borders count="4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0" fontId="2" fillId="0" borderId="0" pivotButton="0" quotePrefix="0" xfId="0"/>
    <xf numFmtId="165" fontId="0" fillId="0" borderId="0" applyAlignment="1" pivotButton="0" quotePrefix="0" xfId="0">
      <alignment textRotation="90"/>
    </xf>
    <xf numFmtId="9" fontId="0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8" fontId="4" fillId="3" borderId="1" applyAlignment="1" pivotButton="0" quotePrefix="0" xfId="0">
      <alignment horizontal="right"/>
    </xf>
    <xf numFmtId="0" fontId="6" fillId="0" borderId="0" pivotButton="0" quotePrefix="0" xfId="0"/>
    <xf numFmtId="1" fontId="4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165" fontId="8" fillId="4" borderId="0" applyAlignment="1" pivotButton="0" quotePrefix="0" xfId="0">
      <alignment horizontal="center" vertical="center" textRotation="90" wrapText="1"/>
    </xf>
    <xf numFmtId="0" fontId="4" fillId="0" borderId="2" applyAlignment="1" pivotButton="0" quotePrefix="0" xfId="0">
      <alignment horizontal="left" vertical="center"/>
    </xf>
    <xf numFmtId="9" fontId="4" fillId="3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0" fontId="4" fillId="0" borderId="3" pivotButton="0" quotePrefix="0" xfId="0"/>
    <xf numFmtId="0" fontId="3" fillId="0" borderId="2" applyAlignment="1" pivotButton="0" quotePrefix="0" xfId="0">
      <alignment horizontal="left" vertical="center"/>
    </xf>
    <xf numFmtId="9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</cellXfs>
  <cellStyles count="1">
    <cellStyle name="Normal" xfId="0" builtinId="0" hidden="0"/>
  </cellStyles>
  <dxfs count="8">
    <dxf>
      <fill>
        <patternFill patternType="solid">
          <fgColor rgb="00CFE0F3"/>
          <bgColor rgb="00CFE0F3"/>
        </patternFill>
      </fill>
    </dxf>
    <dxf>
      <fill>
        <patternFill patternType="solid">
          <fgColor rgb="001F3864"/>
          <bgColor rgb="001F3864"/>
        </patternFill>
      </fill>
    </dxf>
    <dxf>
      <fill>
        <patternFill patternType="solid">
          <fgColor rgb="00CFE6C0"/>
          <bgColor rgb="00CFE6C0"/>
        </patternFill>
      </fill>
    </dxf>
    <dxf>
      <font>
        <b val="1"/>
        <color rgb="00FF0000"/>
      </font>
      <border>
        <left style="medium">
          <color rgb="00FF0000"/>
        </left>
        <right style="medium">
          <color rgb="00FF0000"/>
        </right>
      </border>
    </dxf>
    <dxf>
      <border>
        <left style="medium">
          <color rgb="00C00000"/>
        </left>
        <right style="medium">
          <color rgb="00C00000"/>
        </right>
      </border>
    </dxf>
    <dxf>
      <border>
        <left style="thin">
          <color rgb="007F7F7F"/>
        </left>
      </border>
    </dxf>
    <dxf>
      <fill>
        <patternFill patternType="solid">
          <fgColor rgb="00FBE7A8"/>
          <bgColor rgb="00FBE7A8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Y24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14" customWidth="1" min="4" max="4"/>
    <col width="14" customWidth="1" min="5" max="5"/>
    <col width="1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8" customHeight="1">
      <c r="A1" s="9" t="inlineStr">
        <is>
          <t>Process Timeline (Gantt)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</row>
    <row r="2">
      <c r="A2" s="10" t="inlineStr">
        <is>
          <t>Start date</t>
        </is>
      </c>
      <c r="B2" s="11" t="n"/>
      <c r="C2" s="12" t="inlineStr">
        <is>
          <t>Enter here</t>
        </is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</row>
    <row r="3">
      <c r="A3" s="10" t="inlineStr">
        <is>
          <t>Due date</t>
        </is>
      </c>
      <c r="B3" s="11" t="n"/>
      <c r="C3" s="12" t="inlineStr">
        <is>
          <t>Enter here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</row>
    <row r="4">
      <c r="A4" s="10" t="inlineStr">
        <is>
          <t>Working time to split (days, after fixed stages)</t>
        </is>
      </c>
      <c r="B4" s="13">
        <f>IF(OR($B$2="",$B$3=""),"",$B$3-$B$2-SUMIF(B7:B17,"fixed",C7:C17))</f>
        <v/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</row>
    <row r="6" ht="42" customHeight="1">
      <c r="A6" s="14" t="inlineStr">
        <is>
          <t>Stage</t>
        </is>
      </c>
      <c r="B6" s="14" t="inlineStr">
        <is>
          <t>Share %</t>
        </is>
      </c>
      <c r="C6" s="14" t="inlineStr">
        <is>
          <t>Days</t>
        </is>
      </c>
      <c r="D6" s="14" t="inlineStr">
        <is>
          <t>Start</t>
        </is>
      </c>
      <c r="E6" s="14" t="inlineStr">
        <is>
          <t>End</t>
        </is>
      </c>
      <c r="F6" s="14" t="n"/>
      <c r="G6" s="15">
        <f>IF($B$2="","",$B$2+0)</f>
        <v/>
      </c>
      <c r="H6" s="15">
        <f>IF($B$2="","",$B$2+1)</f>
        <v/>
      </c>
      <c r="I6" s="15">
        <f>IF($B$2="","",$B$2+2)</f>
        <v/>
      </c>
      <c r="J6" s="15">
        <f>IF($B$2="","",$B$2+3)</f>
        <v/>
      </c>
      <c r="K6" s="15">
        <f>IF($B$2="","",$B$2+4)</f>
        <v/>
      </c>
      <c r="L6" s="15">
        <f>IF($B$2="","",$B$2+5)</f>
        <v/>
      </c>
      <c r="M6" s="15">
        <f>IF($B$2="","",$B$2+6)</f>
        <v/>
      </c>
      <c r="N6" s="15">
        <f>IF($B$2="","",$B$2+7)</f>
        <v/>
      </c>
      <c r="O6" s="15">
        <f>IF($B$2="","",$B$2+8)</f>
        <v/>
      </c>
      <c r="P6" s="15">
        <f>IF($B$2="","",$B$2+9)</f>
        <v/>
      </c>
      <c r="Q6" s="15">
        <f>IF($B$2="","",$B$2+10)</f>
        <v/>
      </c>
      <c r="R6" s="15">
        <f>IF($B$2="","",$B$2+11)</f>
        <v/>
      </c>
      <c r="S6" s="15">
        <f>IF($B$2="","",$B$2+12)</f>
        <v/>
      </c>
      <c r="T6" s="15">
        <f>IF($B$2="","",$B$2+13)</f>
        <v/>
      </c>
      <c r="U6" s="15">
        <f>IF($B$2="","",$B$2+14)</f>
        <v/>
      </c>
      <c r="V6" s="15">
        <f>IF($B$2="","",$B$2+15)</f>
        <v/>
      </c>
      <c r="W6" s="15">
        <f>IF($B$2="","",$B$2+16)</f>
        <v/>
      </c>
      <c r="X6" s="15">
        <f>IF($B$2="","",$B$2+17)</f>
        <v/>
      </c>
      <c r="Y6" s="15">
        <f>IF($B$2="","",$B$2+18)</f>
        <v/>
      </c>
      <c r="Z6" s="15">
        <f>IF($B$2="","",$B$2+19)</f>
        <v/>
      </c>
      <c r="AA6" s="15">
        <f>IF($B$2="","",$B$2+20)</f>
        <v/>
      </c>
      <c r="AB6" s="15">
        <f>IF($B$2="","",$B$2+21)</f>
        <v/>
      </c>
      <c r="AC6" s="15">
        <f>IF($B$2="","",$B$2+22)</f>
        <v/>
      </c>
      <c r="AD6" s="15">
        <f>IF($B$2="","",$B$2+23)</f>
        <v/>
      </c>
      <c r="AE6" s="15">
        <f>IF($B$2="","",$B$2+24)</f>
        <v/>
      </c>
      <c r="AF6" s="15">
        <f>IF($B$2="","",$B$2+25)</f>
        <v/>
      </c>
      <c r="AG6" s="15">
        <f>IF($B$2="","",$B$2+26)</f>
        <v/>
      </c>
      <c r="AH6" s="15">
        <f>IF($B$2="","",$B$2+27)</f>
        <v/>
      </c>
      <c r="AI6" s="15">
        <f>IF($B$2="","",$B$2+28)</f>
        <v/>
      </c>
      <c r="AJ6" s="15">
        <f>IF($B$2="","",$B$2+29)</f>
        <v/>
      </c>
      <c r="AK6" s="15">
        <f>IF($B$2="","",$B$2+30)</f>
        <v/>
      </c>
      <c r="AL6" s="15">
        <f>IF($B$2="","",$B$2+31)</f>
        <v/>
      </c>
      <c r="AM6" s="15">
        <f>IF($B$2="","",$B$2+32)</f>
        <v/>
      </c>
      <c r="AN6" s="15">
        <f>IF($B$2="","",$B$2+33)</f>
        <v/>
      </c>
      <c r="AO6" s="15">
        <f>IF($B$2="","",$B$2+34)</f>
        <v/>
      </c>
      <c r="AP6" s="15">
        <f>IF($B$2="","",$B$2+35)</f>
        <v/>
      </c>
      <c r="AQ6" s="15">
        <f>IF($B$2="","",$B$2+36)</f>
        <v/>
      </c>
      <c r="AR6" s="15">
        <f>IF($B$2="","",$B$2+37)</f>
        <v/>
      </c>
      <c r="AS6" s="15">
        <f>IF($B$2="","",$B$2+38)</f>
        <v/>
      </c>
      <c r="AT6" s="15">
        <f>IF($B$2="","",$B$2+39)</f>
        <v/>
      </c>
      <c r="AU6" s="15">
        <f>IF($B$2="","",$B$2+40)</f>
        <v/>
      </c>
      <c r="AV6" s="15">
        <f>IF($B$2="","",$B$2+41)</f>
        <v/>
      </c>
      <c r="AW6" s="15">
        <f>IF($B$2="","",$B$2+42)</f>
        <v/>
      </c>
      <c r="AX6" s="15">
        <f>IF($B$2="","",$B$2+43)</f>
        <v/>
      </c>
      <c r="AY6" s="15">
        <f>IF($B$2="","",$B$2+44)</f>
        <v/>
      </c>
    </row>
    <row r="7" ht="20" customHeight="1">
      <c r="A7" s="16" t="inlineStr">
        <is>
          <t>Step 1: Draft</t>
        </is>
      </c>
      <c r="B7" s="17" t="n">
        <v>0.2</v>
      </c>
      <c r="C7" s="18">
        <f>IF($B$4="","",$B$4*B7/SUM($B$7:$B$17))</f>
        <v/>
      </c>
      <c r="D7" s="19">
        <f>IF($B$2="","",$B$2)</f>
        <v/>
      </c>
      <c r="E7" s="19">
        <f>IF(OR(D7="",C7=""),"",D7+C7)</f>
        <v/>
      </c>
      <c r="F7" s="1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</row>
    <row r="8" ht="20" customHeight="1">
      <c r="A8" s="16" t="inlineStr">
        <is>
          <t>Step 2: Initial review</t>
        </is>
      </c>
      <c r="B8" s="17" t="n">
        <v>0.1</v>
      </c>
      <c r="C8" s="18">
        <f>IF($B$4="","",$B$4*B8/SUM($B$7:$B$17))</f>
        <v/>
      </c>
      <c r="D8" s="19">
        <f>IF(E7="","",E7)</f>
        <v/>
      </c>
      <c r="E8" s="19">
        <f>IF(OR(D8="",C8=""),"",D8+C8)</f>
        <v/>
      </c>
      <c r="F8" s="1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</row>
    <row r="9" ht="20" customHeight="1">
      <c r="A9" s="16" t="inlineStr">
        <is>
          <t>Step 3: Editorial review</t>
        </is>
      </c>
      <c r="B9" s="17" t="n">
        <v>0.15</v>
      </c>
      <c r="C9" s="18">
        <f>IF($B$4="","",$B$4*B9/SUM($B$7:$B$17))</f>
        <v/>
      </c>
      <c r="D9" s="19">
        <f>IF(E8="","",E8)</f>
        <v/>
      </c>
      <c r="E9" s="19">
        <f>IF(OR(D9="",C9=""),"",D9+C9)</f>
        <v/>
      </c>
      <c r="F9" s="1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</row>
    <row r="10" ht="20" customHeight="1">
      <c r="A10" s="16" t="inlineStr">
        <is>
          <t>Step 4: Second review</t>
        </is>
      </c>
      <c r="B10" s="17" t="n">
        <v>0.08</v>
      </c>
      <c r="C10" s="18">
        <f>IF($B$4="","",$B$4*B10/SUM($B$7:$B$17))</f>
        <v/>
      </c>
      <c r="D10" s="19">
        <f>IF(E9="","",E9)</f>
        <v/>
      </c>
      <c r="E10" s="19">
        <f>IF(OR(D10="",C10=""),"",D10+C10)</f>
        <v/>
      </c>
      <c r="F10" s="1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</row>
    <row r="11" ht="20" customHeight="1">
      <c r="A11" s="16" t="inlineStr">
        <is>
          <t>Step 5: Leadership sign-off</t>
        </is>
      </c>
      <c r="B11" s="17" t="n">
        <v>0.12</v>
      </c>
      <c r="C11" s="18">
        <f>IF($B$4="","",$B$4*B11/SUM($B$7:$B$17))</f>
        <v/>
      </c>
      <c r="D11" s="19">
        <f>IF(E10="","",E10)</f>
        <v/>
      </c>
      <c r="E11" s="19">
        <f>IF(OR(D11="",C11=""),"",D11+C11)</f>
        <v/>
      </c>
      <c r="F11" s="1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</row>
    <row r="12" ht="20" customHeight="1">
      <c r="A12" s="16" t="inlineStr">
        <is>
          <t>Step 6: Communications review</t>
        </is>
      </c>
      <c r="B12" s="17" t="n">
        <v>0.1</v>
      </c>
      <c r="C12" s="18">
        <f>IF($B$4="","",$B$4*B12/SUM($B$7:$B$17))</f>
        <v/>
      </c>
      <c r="D12" s="19">
        <f>IF(E11="","",E11)</f>
        <v/>
      </c>
      <c r="E12" s="19">
        <f>IF(OR(D12="",C12=""),"",D12+C12)</f>
        <v/>
      </c>
      <c r="F12" s="1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</row>
    <row r="13" ht="20" customHeight="1">
      <c r="A13" s="16" t="inlineStr">
        <is>
          <t>Step 7: Editorial final proof</t>
        </is>
      </c>
      <c r="B13" s="17" t="n">
        <v>0.08</v>
      </c>
      <c r="C13" s="18">
        <f>IF($B$4="","",$B$4*B13/SUM($B$7:$B$17))</f>
        <v/>
      </c>
      <c r="D13" s="19">
        <f>IF(E12="","",E12)</f>
        <v/>
      </c>
      <c r="E13" s="19">
        <f>IF(OR(D13="",C13=""),"",D13+C13)</f>
        <v/>
      </c>
      <c r="F13" s="1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</row>
    <row r="14" ht="20" customHeight="1">
      <c r="A14" s="16" t="inlineStr">
        <is>
          <t>Step 8: Senior leadership</t>
        </is>
      </c>
      <c r="B14" s="17" t="inlineStr">
        <is>
          <t>fixed</t>
        </is>
      </c>
      <c r="C14" s="18" t="n">
        <v>2</v>
      </c>
      <c r="D14" s="19">
        <f>IF(E13="","",E13)</f>
        <v/>
      </c>
      <c r="E14" s="19">
        <f>IF(OR(D14="",C14=""),"",D14+C14)</f>
        <v/>
      </c>
      <c r="F14" s="1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</row>
    <row r="15" ht="20" customHeight="1">
      <c r="A15" s="16" t="inlineStr">
        <is>
          <t>Step 9: Legal review (if needed)</t>
        </is>
      </c>
      <c r="B15" s="17" t="n">
        <v>0.1</v>
      </c>
      <c r="C15" s="18">
        <f>IF($B$4="","",$B$4*B15/SUM($B$7:$B$17))</f>
        <v/>
      </c>
      <c r="D15" s="19">
        <f>IF(E14="","",E14)</f>
        <v/>
      </c>
      <c r="E15" s="19">
        <f>IF(OR(D15="",C15=""),"",D15+C15)</f>
        <v/>
      </c>
      <c r="F15" s="1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</row>
    <row r="16" ht="20" customHeight="1">
      <c r="A16" s="16" t="inlineStr">
        <is>
          <t>Step 10: Final approval</t>
        </is>
      </c>
      <c r="B16" s="17" t="inlineStr">
        <is>
          <t>fixed</t>
        </is>
      </c>
      <c r="C16" s="18" t="n">
        <v>2</v>
      </c>
      <c r="D16" s="19">
        <f>IF(E15="","",E15)</f>
        <v/>
      </c>
      <c r="E16" s="19">
        <f>IF(OR(D16="",C16=""),"",D16+C16)</f>
        <v/>
      </c>
      <c r="F16" s="1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</row>
    <row r="17" ht="20" customHeight="1">
      <c r="A17" s="16" t="inlineStr">
        <is>
          <t>Step 11: Publish</t>
        </is>
      </c>
      <c r="B17" s="17" t="n">
        <v>0.07000000000000001</v>
      </c>
      <c r="C17" s="18">
        <f>IF($B$4="","",$B$4*B17/SUM($B$7:$B$17))</f>
        <v/>
      </c>
      <c r="D17" s="19">
        <f>IF(E16="","",E16)</f>
        <v/>
      </c>
      <c r="E17" s="19">
        <f>IF(OR(D17="",C17=""),"",D17+C17)</f>
        <v/>
      </c>
      <c r="F17" s="1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</row>
    <row r="18" ht="20" customHeight="1">
      <c r="A18" s="21" t="inlineStr">
        <is>
          <t>Total share (should be 100%)</t>
        </is>
      </c>
      <c r="B18" s="22">
        <f>SUM(B7:B17)</f>
        <v/>
      </c>
      <c r="C18" s="18" t="n"/>
      <c r="D18" s="19" t="n"/>
      <c r="E18" s="19" t="n"/>
      <c r="F18" s="1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</row>
    <row r="20">
      <c r="A20" s="23" t="inlineStr">
        <is>
          <t>Notes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</row>
    <row r="21">
      <c r="A21" s="24" t="inlineStr">
        <is>
          <t>- Light-blue input cells are editable defaults. Fixed stages are set to 2 days each.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</row>
    <row r="22">
      <c r="A22" s="24" t="inlineStr">
        <is>
          <t>- An expedited path, if used, is not modeled here.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</row>
    <row r="23">
      <c r="A23" s="24" t="inlineStr">
        <is>
          <t>- If major edits occur late, the approval loop returns the item to leadership sign-off and adds time.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</row>
    <row r="24">
      <c r="A24" s="24" t="inlineStr">
        <is>
          <t>- Legend: blue = drafting/review, yellow = editorial/communications, green = approval/publish. navy = leadership sign-off; red outline = due date.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</row>
  </sheetData>
  <conditionalFormatting sqref="G6:AY17">
    <cfRule type="expression" priority="1" dxfId="4" stopIfTrue="0">
      <formula>AND(ISNUMBER($B$3),G$6=INT($B$3))</formula>
    </cfRule>
    <cfRule type="expression" priority="2" dxfId="5" stopIfTrue="0">
      <formula>AND(ISNUMBER(G$6),G$6=TODAY())</formula>
    </cfRule>
  </conditionalFormatting>
  <conditionalFormatting sqref="G7:AY7">
    <cfRule type="expression" priority="3" dxfId="0">
      <formula>AND(ISNUMBER(G$6),ISNUMBER($D7),G$6+1&gt;$D7,G$6&lt;$E7)</formula>
    </cfRule>
  </conditionalFormatting>
  <conditionalFormatting sqref="G8:AY8">
    <cfRule type="expression" priority="4" dxfId="0">
      <formula>AND(ISNUMBER(G$6),ISNUMBER($D8),G$6+1&gt;$D8,G$6&lt;$E8)</formula>
    </cfRule>
  </conditionalFormatting>
  <conditionalFormatting sqref="G9:AY9">
    <cfRule type="expression" priority="5" dxfId="6">
      <formula>AND(ISNUMBER(G$6),ISNUMBER($D9),G$6+1&gt;$D9,G$6&lt;$E9)</formula>
    </cfRule>
  </conditionalFormatting>
  <conditionalFormatting sqref="G10:AY10">
    <cfRule type="expression" priority="6" dxfId="0">
      <formula>AND(ISNUMBER(G$6),ISNUMBER($D10),G$6+1&gt;$D10,G$6&lt;$E10)</formula>
    </cfRule>
  </conditionalFormatting>
  <conditionalFormatting sqref="G11:AY11">
    <cfRule type="expression" priority="7" dxfId="1">
      <formula>AND(ISNUMBER(G$6),ISNUMBER($D11),G$6+1&gt;$D11,G$6&lt;$E11)</formula>
    </cfRule>
  </conditionalFormatting>
  <conditionalFormatting sqref="G12:AY12">
    <cfRule type="expression" priority="8" dxfId="6">
      <formula>AND(ISNUMBER(G$6),ISNUMBER($D12),G$6+1&gt;$D12,G$6&lt;$E12)</formula>
    </cfRule>
  </conditionalFormatting>
  <conditionalFormatting sqref="G13:AY13">
    <cfRule type="expression" priority="9" dxfId="6">
      <formula>AND(ISNUMBER(G$6),ISNUMBER($D13),G$6+1&gt;$D13,G$6&lt;$E13)</formula>
    </cfRule>
  </conditionalFormatting>
  <conditionalFormatting sqref="G14:AY14">
    <cfRule type="expression" priority="10" dxfId="6">
      <formula>AND(ISNUMBER(G$6),ISNUMBER($D14),G$6+1&gt;$D14,G$6&lt;$E14)</formula>
    </cfRule>
  </conditionalFormatting>
  <conditionalFormatting sqref="G15:AY15">
    <cfRule type="expression" priority="11" dxfId="2">
      <formula>AND(ISNUMBER(G$6),ISNUMBER($D15),G$6+1&gt;$D15,G$6&lt;$E15)</formula>
    </cfRule>
  </conditionalFormatting>
  <conditionalFormatting sqref="G16:AY16">
    <cfRule type="expression" priority="12" dxfId="2">
      <formula>AND(ISNUMBER(G$6),ISNUMBER($D16),G$6+1&gt;$D16,G$6&lt;$E16)</formula>
    </cfRule>
  </conditionalFormatting>
  <conditionalFormatting sqref="G17:AY17">
    <cfRule type="expression" priority="13" dxfId="2">
      <formula>AND(ISNUMBER(G$6),ISNUMBER($D17),G$6+1&gt;$D17,G$6&lt;$E17)</formula>
    </cfRule>
  </conditionalFormatting>
  <conditionalFormatting sqref="G7:AY17">
    <cfRule type="expression" priority="14" dxfId="7">
      <formula>AND(ISNUMBER(G$6),WEEKDAY(G$6,2)&gt;5)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Template</dc:creator>
  <dc:title xmlns:dc="http://purl.org/dc/elements/1.1/">Template</dc:title>
  <dcterms:created xmlns:dcterms="http://purl.org/dc/terms/" xmlns:xsi="http://www.w3.org/2001/XMLSchema-instance" xsi:type="dcterms:W3CDTF">2026-10-23T19:49:22Z</dcterms:created>
  <dcterms:modified xmlns:dcterms="http://purl.org/dc/terms/" xmlns:xsi="http://www.w3.org/2001/XMLSchema-instance" xsi:type="dcterms:W3CDTF">2026-10-23T20:40:26Z</dcterms:modified>
  <cp:lastModifiedBy>Template</cp:lastModifiedBy>
</cp:coreProperties>
</file>