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Sign-off Log" sheetId="4" state="visible" r:id="rId4"/>
  </sheets>
  <definedNames>
    <definedName name="_xlnm._FilterDatabase" localSheetId="0" hidden="1">'Tracker'!$A$1:$P$200</definedName>
    <definedName name="_xlnm.Print_Area" localSheetId="0">'Tracker'!$A$1:$P$12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m/d/yy"/>
    <numFmt numFmtId="165" formatCode="m/d/yyyy h:mm:ss AM/PM"/>
    <numFmt numFmtId="166" formatCode="mm/dd/yyyy"/>
    <numFmt numFmtId="167" formatCode="m/d"/>
    <numFmt numFmtId="168" formatCode="0.0"/>
    <numFmt numFmtId="169" formatCode="mm/dd/yy hh:mm"/>
  </numFmts>
  <fonts count="16">
    <font>
      <name val="Calibri"/>
      <family val="2"/>
      <color theme="1"/>
      <sz val="11"/>
      <scheme val="minor"/>
    </font>
    <font>
      <b val="1"/>
      <color rgb="00FFFFFF"/>
    </font>
    <font>
      <name val="Aptos Narrow"/>
      <b val="1"/>
      <color rgb="00FFFFFF"/>
      <sz val="11"/>
    </font>
    <font>
      <name val="Aptos Narrow"/>
      <color rgb="00000000"/>
      <sz val="11"/>
    </font>
    <font>
      <name val="Aptos Narrow"/>
      <color rgb="00000001"/>
      <sz val="11"/>
    </font>
    <font>
      <name val="Aptos Narrow"/>
      <b val="1"/>
      <color rgb="00FFFFFF"/>
      <sz val="14"/>
    </font>
    <font>
      <name val="Aptos Narrow"/>
      <b val="1"/>
      <color rgb="00FFFFFF"/>
      <sz val="12"/>
    </font>
    <font>
      <name val="Aptos Narrow"/>
      <color rgb="00C00000"/>
      <sz val="11"/>
    </font>
    <font>
      <name val="Aptos Narrow"/>
      <b val="1"/>
      <color rgb="00FFFFFF"/>
    </font>
    <font>
      <name val="Aptos Narrow"/>
      <sz val="11"/>
    </font>
    <font>
      <i val="1"/>
      <color rgb="00C00000"/>
    </font>
    <font>
      <name val="Times New Roman"/>
      <b val="1"/>
      <color rgb="00FFFFFF"/>
      <sz val="13"/>
    </font>
    <font>
      <name val="Times New Roman"/>
      <i val="1"/>
      <sz val="11"/>
    </font>
    <font>
      <name val="Times New Roman"/>
      <sz val="11"/>
    </font>
    <font>
      <b val="1"/>
      <sz val="14"/>
    </font>
    <font>
      <b val="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C0000"/>
      </patternFill>
    </fill>
    <fill>
      <patternFill patternType="solid">
        <fgColor rgb="004F8A3C"/>
      </patternFill>
    </fill>
    <fill>
      <patternFill patternType="solid">
        <fgColor rgb="00E7E6E6"/>
      </patternFill>
    </fill>
    <fill>
      <patternFill patternType="solid">
        <fgColor rgb="000E2841"/>
      </patternFill>
    </fill>
    <fill>
      <patternFill patternType="solid">
        <fgColor rgb="00C00000"/>
      </patternFill>
    </fill>
    <fill>
      <patternFill patternType="solid">
        <fgColor rgb="004EA72E"/>
      </patternFill>
    </fill>
    <fill>
      <patternFill patternType="solid">
        <fgColor rgb="00156082"/>
      </patternFill>
    </fill>
    <fill>
      <patternFill patternType="solid">
        <fgColor rgb="00262626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 indent="1"/>
    </xf>
    <xf numFmtId="0" fontId="7" fillId="0" borderId="0" applyAlignment="1" pivotButton="0" quotePrefix="0" xfId="0">
      <alignment vertical="top" wrapText="1" indent="1"/>
    </xf>
    <xf numFmtId="0" fontId="7" fillId="0" borderId="0" applyAlignment="1" pivotButton="0" quotePrefix="0" xfId="0">
      <alignment vertical="top" wrapText="1" indent="2"/>
    </xf>
    <xf numFmtId="0" fontId="2" fillId="6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0" borderId="0" applyAlignment="1" applyProtection="1" pivotButton="0" quotePrefix="0" xfId="0">
      <alignment vertical="center"/>
      <protection locked="0" hidden="0"/>
    </xf>
    <xf numFmtId="164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164" fontId="3" fillId="0" borderId="0" applyAlignment="1" pivotButton="0" quotePrefix="0" xfId="0">
      <alignment vertical="center"/>
    </xf>
    <xf numFmtId="0" fontId="3" fillId="5" borderId="0" applyAlignment="1" applyProtection="1" pivotButton="0" quotePrefix="0" xfId="0">
      <alignment vertical="center"/>
      <protection locked="0" hidden="0"/>
    </xf>
    <xf numFmtId="0" fontId="8" fillId="6" borderId="0" pivotButton="0" quotePrefix="0" xfId="0"/>
    <xf numFmtId="0" fontId="9" fillId="6" borderId="0" pivotButton="0" quotePrefix="0" xfId="0"/>
    <xf numFmtId="0" fontId="9" fillId="0" borderId="0" pivotButton="0" quotePrefix="0" xfId="0"/>
    <xf numFmtId="164" fontId="3" fillId="0" borderId="0" applyAlignment="1" applyProtection="1" pivotButton="0" quotePrefix="0" xfId="0">
      <alignment vertical="center"/>
      <protection locked="0" hidden="0"/>
    </xf>
    <xf numFmtId="164" fontId="3" fillId="0" borderId="0" applyAlignment="1" pivotButton="0" quotePrefix="0" xfId="0">
      <alignment vertical="center"/>
    </xf>
    <xf numFmtId="0" fontId="9" fillId="0" borderId="0" applyAlignment="1" pivotButton="0" quotePrefix="0" xfId="0">
      <alignment wrapText="1"/>
    </xf>
    <xf numFmtId="0" fontId="8" fillId="6" borderId="1" pivotButton="0" quotePrefix="0" xfId="0"/>
    <xf numFmtId="0" fontId="0" fillId="0" borderId="1" pivotButton="0" quotePrefix="0" xfId="0"/>
    <xf numFmtId="0" fontId="10" fillId="0" borderId="0" pivotButton="0" quotePrefix="0" xfId="0"/>
    <xf numFmtId="0" fontId="11" fillId="10" borderId="2" pivotButton="0" quotePrefix="0" xfId="0"/>
    <xf numFmtId="0" fontId="0" fillId="0" borderId="2" pivotButton="0" quotePrefix="0" xfId="0"/>
    <xf numFmtId="0" fontId="13" fillId="11" borderId="2" pivotButton="0" quotePrefix="0" xfId="0"/>
    <xf numFmtId="165" fontId="13" fillId="11" borderId="2" pivotButton="0" quotePrefix="0" xfId="0"/>
    <xf numFmtId="0" fontId="0" fillId="11" borderId="2" pivotButton="0" quotePrefix="0" xfId="0"/>
    <xf numFmtId="0" fontId="12" fillId="11" borderId="2" applyAlignment="1" pivotButton="0" quotePrefix="0" xfId="0">
      <alignment horizontal="center"/>
    </xf>
    <xf numFmtId="0" fontId="13" fillId="12" borderId="2" applyAlignment="1" pivotButton="0" quotePrefix="0" xfId="0">
      <alignment vertical="center" wrapText="1"/>
    </xf>
    <xf numFmtId="0" fontId="13" fillId="0" borderId="2" pivotButton="0" quotePrefix="0" xfId="0"/>
    <xf numFmtId="166" fontId="13" fillId="0" borderId="2" pivotButton="0" quotePrefix="0" xfId="0"/>
    <xf numFmtId="0" fontId="13" fillId="12" borderId="2" applyAlignment="1" pivotButton="0" quotePrefix="0" xfId="0">
      <alignment vertical="center" wrapText="1" indent="2"/>
    </xf>
    <xf numFmtId="0" fontId="0" fillId="0" borderId="5" pivotButton="0" quotePrefix="0" xfId="0"/>
    <xf numFmtId="0" fontId="0" fillId="0" borderId="6" pivotButton="0" quotePrefix="0" xfId="0"/>
    <xf numFmtId="0" fontId="14" fillId="0" borderId="0" pivotButton="0" quotePrefix="0" xfId="0"/>
    <xf numFmtId="166" fontId="15" fillId="13" borderId="0" pivotButton="0" quotePrefix="0" xfId="0"/>
    <xf numFmtId="0" fontId="15" fillId="0" borderId="0" pivotButton="0" quotePrefix="0" xfId="0"/>
    <xf numFmtId="167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13" borderId="0" pivotButton="0" quotePrefix="0" xfId="0"/>
    <xf numFmtId="168" fontId="0" fillId="0" borderId="0" pivotButton="0" quotePrefix="0" xfId="0"/>
    <xf numFmtId="169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dxfs count="12">
    <dxf>
      <fill>
        <patternFill patternType="solid">
          <fgColor rgb="00CFE0F3"/>
          <bgColor rgb="00CFE0F3"/>
        </patternFill>
      </fill>
    </dxf>
    <dxf>
      <fill>
        <patternFill patternType="solid">
          <fgColor rgb="00FBE7A8"/>
          <bgColor rgb="00FBE7A8"/>
        </patternFill>
      </fill>
    </dxf>
    <dxf>
      <fill>
        <patternFill patternType="solid">
          <fgColor rgb="00CFE6C0"/>
          <bgColor rgb="00CFE6C0"/>
        </patternFill>
      </fill>
    </dxf>
    <dxf>
      <font>
        <color rgb="00808080"/>
      </font>
      <fill>
        <patternFill patternType="solid">
          <bgColor rgb="00F2F2F2"/>
        </patternFill>
      </fill>
    </dxf>
    <dxf>
      <font>
        <color rgb="009C0006"/>
      </font>
      <fill>
        <patternFill patternType="solid">
          <bgColor rgb="00FFC7CE"/>
        </patternFill>
      </fill>
    </dxf>
    <dxf>
      <fill>
        <patternFill patternType="solid">
          <bgColor rgb="00CFE0F3"/>
        </patternFill>
      </fill>
    </dxf>
    <dxf>
      <fill>
        <patternFill patternType="solid">
          <bgColor rgb="00FBE7A8"/>
        </patternFill>
      </fill>
    </dxf>
    <dxf>
      <fill>
        <patternFill patternType="solid">
          <bgColor rgb="00CFE6C0"/>
        </patternFill>
      </fill>
    </dxf>
    <dxf>
      <font>
        <b val="1"/>
        <color rgb="009C57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ill>
        <patternFill patternType="solid">
          <fgColor rgb="001F3864"/>
          <bgColor rgb="001F3864"/>
        </patternFill>
      </fill>
    </dxf>
    <dxf>
      <font>
        <b val="1"/>
        <color rgb="00FF0000"/>
      </font>
      <border>
        <left style="medium">
          <color rgb="00FF0000"/>
        </left>
        <right style="medium">
          <color rgb="00FF0000"/>
        </righ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1" customWidth="1" min="4" max="4"/>
    <col width="11" customWidth="1" min="5" max="5"/>
    <col width="20" customWidth="1" min="6" max="6"/>
    <col width="11" customWidth="1" min="7" max="7"/>
    <col width="8" customWidth="1" min="8" max="8"/>
    <col width="34" customWidth="1" min="9" max="9"/>
    <col width="9" customWidth="1" min="10" max="10"/>
    <col width="10" customWidth="1" min="11" max="11"/>
    <col width="11" customWidth="1" min="12" max="12"/>
    <col width="9" customWidth="1" min="13" max="13"/>
    <col width="11" customWidth="1" min="14" max="14"/>
    <col width="22" customWidth="1" min="15" max="15"/>
    <col width="45" customWidth="1" min="16" max="16"/>
  </cols>
  <sheetData>
    <row r="1" ht="32" customHeight="1">
      <c r="A1" s="22" t="inlineStr">
        <is>
          <t>Item</t>
        </is>
      </c>
      <c r="B1" s="22" t="inlineStr">
        <is>
          <t>Team</t>
        </is>
      </c>
      <c r="C1" s="22" t="inlineStr">
        <is>
          <t>Owner</t>
        </is>
      </c>
      <c r="D1" s="22" t="inlineStr">
        <is>
          <t>Type</t>
        </is>
      </c>
      <c r="E1" s="23" t="inlineStr">
        <is>
          <t>Due Date</t>
        </is>
      </c>
      <c r="F1" s="23" t="inlineStr">
        <is>
          <t>Stage</t>
        </is>
      </c>
      <c r="G1" s="23" t="inlineStr">
        <is>
          <t>Date Entered Stage</t>
        </is>
      </c>
      <c r="H1" s="23" t="inlineStr">
        <is>
          <t>Days in Stage</t>
        </is>
      </c>
      <c r="I1" s="23" t="inlineStr">
        <is>
          <t>Next Step</t>
        </is>
      </c>
      <c r="J1" s="24" t="inlineStr">
        <is>
          <t>Expedited</t>
        </is>
      </c>
      <c r="K1" s="24" t="inlineStr">
        <is>
          <t>Expedited Start</t>
        </is>
      </c>
      <c r="L1" s="24" t="inlineStr">
        <is>
          <t>Expedited Deadline</t>
        </is>
      </c>
      <c r="M1" s="25" t="inlineStr">
        <is>
          <t>Attachments Included</t>
        </is>
      </c>
      <c r="N1" s="25" t="inlineStr">
        <is>
          <t>Reference #</t>
        </is>
      </c>
      <c r="O1" s="22" t="inlineStr">
        <is>
          <t>Link</t>
        </is>
      </c>
      <c r="P1" s="22" t="inlineStr">
        <is>
          <t>Notes</t>
        </is>
      </c>
    </row>
    <row r="2">
      <c r="A2" s="26" t="n"/>
      <c r="B2" s="26" t="n"/>
      <c r="C2" s="26" t="n"/>
      <c r="D2" s="26" t="n"/>
      <c r="E2" s="34" t="n"/>
      <c r="F2" s="26" t="n"/>
      <c r="G2" s="34" t="n"/>
      <c r="H2" s="62">
        <f>IF(G2="","",IF(G2&gt;TODAY(),"Upcoming",TODAY()-G2))</f>
        <v/>
      </c>
      <c r="I2" s="8">
        <f>IF(F2="","",IF(F2="Unknown","Confirm where it stands",IF(AND(OR(J2=TRUE,J2="Yes"),IFERROR(VALUE(MID(F2,FIND("(",F2)+1,FIND(")",F2,FIND("(",F2))-FIND("(",F2)-1))&gt;=2,FALSE)),"Expedited path: send to final approval",IFERROR(CHOOSE(VALUE(MID(F2,FIND("(",F2)+1,FIND(")",F2,FIND("(",F2))-FIND("(",F2)-1)),"Send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2" s="28" t="n"/>
      <c r="K2" s="34" t="n"/>
      <c r="L2" s="35">
        <f>IF(AND(OR(J2=TRUE,J2="Yes"),ISNUMBER(K2)),K2+30,"")</f>
        <v/>
      </c>
      <c r="M2" s="28" t="n"/>
      <c r="N2" s="26" t="n"/>
      <c r="O2" s="26" t="n"/>
      <c r="P2" s="30" t="n"/>
    </row>
    <row r="3">
      <c r="A3" s="26" t="n"/>
      <c r="B3" s="26" t="n"/>
      <c r="C3" s="26" t="n"/>
      <c r="D3" s="26" t="n"/>
      <c r="E3" s="34" t="n"/>
      <c r="F3" s="26" t="n"/>
      <c r="G3" s="34" t="n"/>
      <c r="H3" s="62">
        <f>IF(G3="","",IF(G3&gt;TODAY(),"Upcoming",TODAY()-G3))</f>
        <v/>
      </c>
      <c r="I3" s="8">
        <f>IF(F3="","",IF(F3="Unknown","Confirm where it stands",IF(AND(OR(J3=TRUE,J3="Yes"),IFERROR(VALUE(MID(F3,FIND("(",F3)+1,FIND(")",F3,FIND("(",F3))-FIND("(",F3)-1))&gt;=2,FALSE)),"Expedited path: send to final approval",IFERROR(CHOOSE(VALUE(MID(F3,FIND("(",F3)+1,FIND(")",F3,FIND("(",F3))-FIND("(",F3)-1)),"Send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3" s="28" t="n"/>
      <c r="K3" s="34" t="n"/>
      <c r="L3" s="35">
        <f>IF(AND(OR(J3=TRUE,J3="Yes"),ISNUMBER(K3)),K3+30,"")</f>
        <v/>
      </c>
      <c r="M3" s="28" t="n"/>
      <c r="N3" s="26" t="n"/>
      <c r="O3" s="26" t="n"/>
      <c r="P3" s="30" t="n"/>
    </row>
    <row r="4">
      <c r="A4" s="26" t="n"/>
      <c r="B4" s="26" t="n"/>
      <c r="C4" s="26" t="n"/>
      <c r="D4" s="26" t="n"/>
      <c r="E4" s="34" t="n"/>
      <c r="F4" s="26" t="n"/>
      <c r="G4" s="34" t="n"/>
      <c r="H4" s="62">
        <f>IF(G4="","",IF(G4&gt;TODAY(),"Upcoming",TODAY()-G4))</f>
        <v/>
      </c>
      <c r="I4" s="8">
        <f>IF(F4="","",IF(F4="Unknown","Confirm where it stands",IF(AND(OR(J4=TRUE,J4="Yes"),IFERROR(VALUE(MID(F4,FIND("(",F4)+1,FIND(")",F4,FIND("(",F4))-FIND("(",F4)-1))&gt;=2,FALSE)),"Expedited path: send to final approval",IFERROR(CHOOSE(VALUE(MID(F4,FIND("(",F4)+1,FIND(")",F4,FIND("(",F4))-FIND("(",F4)-1)),"Send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4" s="28" t="n"/>
      <c r="K4" s="34" t="n"/>
      <c r="L4" s="35">
        <f>IF(AND(OR(J4=TRUE,J4="Yes"),ISNUMBER(K4)),K4+30,"")</f>
        <v/>
      </c>
      <c r="M4" s="28" t="n"/>
      <c r="N4" s="26" t="n"/>
      <c r="O4" s="26" t="n"/>
      <c r="P4" s="30" t="n"/>
    </row>
    <row r="5">
      <c r="A5" s="26" t="n"/>
      <c r="B5" s="26" t="n"/>
      <c r="C5" s="26" t="n"/>
      <c r="D5" s="26" t="n"/>
      <c r="E5" s="34" t="n"/>
      <c r="F5" s="26" t="n"/>
      <c r="G5" s="34" t="n"/>
      <c r="H5" s="62">
        <f>IF(G5="","",IF(G5&gt;TODAY(),"Upcoming",TODAY()-G5))</f>
        <v/>
      </c>
      <c r="I5" s="8">
        <f>IF(F5="","",IF(F5="Unknown","Confirm where it stands",IF(AND(OR(J5=TRUE,J5="Yes"),IFERROR(VALUE(MID(F5,FIND("(",F5)+1,FIND(")",F5,FIND("(",F5))-FIND("(",F5)-1))&gt;=2,FALSE)),"Expedited path: send to final approval",IFERROR(CHOOSE(VALUE(MID(F5,FIND("(",F5)+1,FIND(")",F5,FIND("(",F5))-FIND("(",F5)-1)),"Send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5" s="28" t="n"/>
      <c r="K5" s="34" t="n"/>
      <c r="L5" s="35">
        <f>IF(AND(OR(J5=TRUE,J5="Yes"),ISNUMBER(K5)),K5+30,"")</f>
        <v/>
      </c>
      <c r="M5" s="28" t="n"/>
      <c r="N5" s="26" t="n"/>
      <c r="O5" s="26" t="n"/>
      <c r="P5" s="30" t="n"/>
    </row>
    <row r="6">
      <c r="A6" s="26" t="n"/>
      <c r="B6" s="26" t="n"/>
      <c r="C6" s="26" t="n"/>
      <c r="D6" s="26" t="n"/>
      <c r="E6" s="34" t="n"/>
      <c r="F6" s="26" t="n"/>
      <c r="G6" s="34" t="n"/>
      <c r="H6" s="62">
        <f>IF(G6="","",IF(G6&gt;TODAY(),"Upcoming",TODAY()-G6))</f>
        <v/>
      </c>
      <c r="I6" s="8">
        <f>IF(F6="","",IF(F6="Unknown","Confirm where it stands",IF(AND(OR(J6=TRUE,J6="Yes"),IFERROR(VALUE(MID(F6,FIND("(",F6)+1,FIND(")",F6,FIND("(",F6))-FIND("(",F6)-1))&gt;=2,FALSE)),"Expedited path: send to final approval",IFERROR(CHOOSE(VALUE(MID(F6,FIND("(",F6)+1,FIND(")",F6,FIND("(",F6))-FIND("(",F6)-1)),"Send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6" s="28" t="n"/>
      <c r="K6" s="34" t="n"/>
      <c r="L6" s="35">
        <f>IF(AND(OR(J6=TRUE,J6="Yes"),ISNUMBER(K6)),K6+30,"")</f>
        <v/>
      </c>
      <c r="M6" s="28" t="n"/>
      <c r="N6" s="26" t="n"/>
      <c r="O6" s="26" t="n"/>
      <c r="P6" s="30" t="n"/>
    </row>
    <row r="7">
      <c r="A7" s="26" t="n"/>
      <c r="B7" s="26" t="n"/>
      <c r="C7" s="26" t="n"/>
      <c r="D7" s="26" t="n"/>
      <c r="E7" s="34" t="n"/>
      <c r="F7" s="26" t="n"/>
      <c r="G7" s="34" t="n"/>
      <c r="H7" s="62">
        <f>IF(G7="","",IF(G7&gt;TODAY(),"Upcoming",TODAY()-G7))</f>
        <v/>
      </c>
      <c r="I7" s="8">
        <f>IF(F7="","",IF(F7="Unknown","Confirm where it stands",IF(AND(OR(J7=TRUE,J7="Yes"),IFERROR(VALUE(MID(F7,FIND("(",F7)+1,FIND(")",F7,FIND("(",F7))-FIND("(",F7)-1))&gt;=2,FALSE)),"Expedited path: send to final approval",IFERROR(CHOOSE(VALUE(MID(F7,FIND("(",F7)+1,FIND(")",F7,FIND("(",F7))-FIND("(",F7)-1)),"Send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7" s="28" t="n"/>
      <c r="K7" s="34" t="n"/>
      <c r="L7" s="35">
        <f>IF(AND(OR(J7=TRUE,J7="Yes"),ISNUMBER(K7)),K7+30,"")</f>
        <v/>
      </c>
      <c r="M7" s="28" t="n"/>
      <c r="N7" s="26" t="n"/>
      <c r="O7" s="26" t="n"/>
      <c r="P7" s="30" t="n"/>
    </row>
    <row r="8">
      <c r="A8" s="26" t="n"/>
      <c r="B8" s="26" t="n"/>
      <c r="C8" s="26" t="n"/>
      <c r="D8" s="26" t="n"/>
      <c r="E8" s="34" t="n"/>
      <c r="F8" s="26" t="n"/>
      <c r="G8" s="34" t="n"/>
      <c r="H8" s="62">
        <f>IF(G8="","",IF(G8&gt;TODAY(),"Upcoming",TODAY()-G8))</f>
        <v/>
      </c>
      <c r="I8" s="8">
        <f>IF(F8="","",IF(F8="Unknown","Confirm where it stands",IF(AND(OR(J8=TRUE,J8="Yes"),IFERROR(VALUE(MID(F8,FIND("(",F8)+1,FIND(")",F8,FIND("(",F8))-FIND("(",F8)-1))&gt;=2,FALSE)),"Expedited path: send to final approval",IFERROR(CHOOSE(VALUE(MID(F8,FIND("(",F8)+1,FIND(")",F8,FIND("(",F8))-FIND("(",F8)-1)),"Send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8" s="28" t="n"/>
      <c r="K8" s="34" t="n"/>
      <c r="L8" s="35">
        <f>IF(AND(OR(J8=TRUE,J8="Yes"),ISNUMBER(K8)),K8+30,"")</f>
        <v/>
      </c>
      <c r="M8" s="28" t="n"/>
      <c r="N8" s="26" t="n"/>
      <c r="O8" s="26" t="n"/>
      <c r="P8" s="30" t="n"/>
    </row>
    <row r="9">
      <c r="A9" s="26" t="n"/>
      <c r="B9" s="26" t="n"/>
      <c r="C9" s="26" t="n"/>
      <c r="D9" s="26" t="n"/>
      <c r="E9" s="34" t="n"/>
      <c r="F9" s="26" t="n"/>
      <c r="G9" s="34" t="n"/>
      <c r="H9" s="62">
        <f>IF(G9="","",IF(G9&gt;TODAY(),"Upcoming",TODAY()-G9))</f>
        <v/>
      </c>
      <c r="I9" s="8">
        <f>IF(F9="","",IF(F9="Unknown","Confirm where it stands",IF(AND(OR(J9=TRUE,J9="Yes"),IFERROR(VALUE(MID(F9,FIND("(",F9)+1,FIND(")",F9,FIND("(",F9))-FIND("(",F9)-1))&gt;=2,FALSE)),"Expedited path: send to final approval",IFERROR(CHOOSE(VALUE(MID(F9,FIND("(",F9)+1,FIND(")",F9,FIND("(",F9))-FIND("(",F9)-1)),"Send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9" s="28" t="n"/>
      <c r="K9" s="34" t="n"/>
      <c r="L9" s="35">
        <f>IF(AND(OR(J9=TRUE,J9="Yes"),ISNUMBER(K9)),K9+30,"")</f>
        <v/>
      </c>
      <c r="M9" s="28" t="n"/>
      <c r="N9" s="26" t="n"/>
      <c r="O9" s="26" t="n"/>
      <c r="P9" s="30" t="n"/>
    </row>
    <row r="10">
      <c r="A10" s="26" t="n"/>
      <c r="B10" s="26" t="n"/>
      <c r="C10" s="26" t="n"/>
      <c r="D10" s="26" t="n"/>
      <c r="E10" s="34" t="n"/>
      <c r="F10" s="26" t="n"/>
      <c r="G10" s="34" t="n"/>
      <c r="H10" s="62">
        <f>IF(G10="","",IF(G10&gt;TODAY(),"Upcoming",TODAY()-G10))</f>
        <v/>
      </c>
      <c r="I10" s="8">
        <f>IF(F10="","",IF(F10="Unknown","Confirm where it stands",IF(AND(OR(J10=TRUE,J10="Yes"),IFERROR(VALUE(MID(F10,FIND("(",F10)+1,FIND(")",F10,FIND("(",F10))-FIND("(",F10)-1))&gt;=2,FALSE)),"Expedited path: send to final approval",IFERROR(CHOOSE(VALUE(MID(F10,FIND("(",F10)+1,FIND(")",F10,FIND("(",F10))-FIND("(",F10)-1)),"Send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0" s="28" t="n"/>
      <c r="K10" s="34" t="n"/>
      <c r="L10" s="35">
        <f>IF(AND(OR(J10=TRUE,J10="Yes"),ISNUMBER(K10)),K10+30,"")</f>
        <v/>
      </c>
      <c r="M10" s="28" t="n"/>
      <c r="N10" s="26" t="n"/>
      <c r="O10" s="26" t="n"/>
      <c r="P10" s="30" t="n"/>
    </row>
    <row r="11">
      <c r="A11" s="26" t="n"/>
      <c r="B11" s="26" t="n"/>
      <c r="C11" s="26" t="n"/>
      <c r="D11" s="26" t="n"/>
      <c r="E11" s="34" t="n"/>
      <c r="F11" s="26" t="n"/>
      <c r="G11" s="34" t="n"/>
      <c r="H11" s="62">
        <f>IF(G11="","",IF(G11&gt;TODAY(),"Upcoming",TODAY()-G11))</f>
        <v/>
      </c>
      <c r="I11" s="8">
        <f>IF(F11="","",IF(F11="Unknown","Confirm where it stands",IF(AND(OR(J11=TRUE,J11="Yes"),IFERROR(VALUE(MID(F11,FIND("(",F11)+1,FIND(")",F11,FIND("(",F11))-FIND("(",F11)-1))&gt;=2,FALSE)),"Expedited path: send to final approval",IFERROR(CHOOSE(VALUE(MID(F11,FIND("(",F11)+1,FIND(")",F11,FIND("(",F11))-FIND("(",F11)-1)),"Send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1" s="28" t="n"/>
      <c r="K11" s="34" t="n"/>
      <c r="L11" s="35">
        <f>IF(AND(OR(J11=TRUE,J11="Yes"),ISNUMBER(K11)),K11+30,"")</f>
        <v/>
      </c>
      <c r="M11" s="28" t="n"/>
      <c r="N11" s="26" t="n"/>
      <c r="O11" s="26" t="n"/>
      <c r="P11" s="30" t="n"/>
    </row>
    <row r="12">
      <c r="A12" s="26" t="n"/>
      <c r="B12" s="26" t="n"/>
      <c r="C12" s="26" t="n"/>
      <c r="D12" s="26" t="n"/>
      <c r="E12" s="34" t="n"/>
      <c r="F12" s="26" t="n"/>
      <c r="G12" s="34" t="n"/>
      <c r="H12" s="62">
        <f>IF(G12="","",IF(G12&gt;TODAY(),"Upcoming",TODAY()-G12))</f>
        <v/>
      </c>
      <c r="I12" s="8">
        <f>IF(F12="","",IF(F12="Unknown","Confirm where it stands",IF(AND(OR(J12=TRUE,J12="Yes"),IFERROR(VALUE(MID(F12,FIND("(",F12)+1,FIND(")",F12,FIND("(",F12))-FIND("(",F12)-1))&gt;=2,FALSE)),"Expedited path: send to final approval",IFERROR(CHOOSE(VALUE(MID(F12,FIND("(",F12)+1,FIND(")",F12,FIND("(",F12))-FIND("(",F12)-1)),"Send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2" s="28" t="n"/>
      <c r="K12" s="34" t="n"/>
      <c r="L12" s="35">
        <f>IF(AND(OR(J12=TRUE,J12="Yes"),ISNUMBER(K12)),K12+30,"")</f>
        <v/>
      </c>
      <c r="M12" s="28" t="n"/>
      <c r="N12" s="26" t="n"/>
      <c r="O12" s="26" t="n"/>
      <c r="P12" s="30" t="n"/>
    </row>
    <row r="13">
      <c r="A13" s="26" t="n"/>
      <c r="B13" s="26" t="n"/>
      <c r="C13" s="26" t="n"/>
      <c r="D13" s="26" t="n"/>
      <c r="E13" s="34" t="n"/>
      <c r="F13" s="26" t="n"/>
      <c r="G13" s="34" t="n"/>
      <c r="H13" s="62">
        <f>IF(G13="","",IF(G13&gt;TODAY(),"Upcoming",TODAY()-G13))</f>
        <v/>
      </c>
      <c r="I13" s="8">
        <f>IF(F13="","",IF(F13="Unknown","Confirm where it stands",IF(AND(OR(J13=TRUE,J13="Yes"),IFERROR(VALUE(MID(F13,FIND("(",F13)+1,FIND(")",F13,FIND("(",F13))-FIND("(",F13)-1))&gt;=2,FALSE)),"Expedited path: send to final approval",IFERROR(CHOOSE(VALUE(MID(F13,FIND("(",F13)+1,FIND(")",F13,FIND("(",F13))-FIND("(",F13)-1)),"Send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3" s="28" t="n"/>
      <c r="K13" s="34" t="n"/>
      <c r="L13" s="35">
        <f>IF(AND(OR(J13=TRUE,J13="Yes"),ISNUMBER(K13)),K13+30,"")</f>
        <v/>
      </c>
      <c r="M13" s="28" t="n"/>
      <c r="N13" s="26" t="n"/>
      <c r="O13" s="26" t="n"/>
      <c r="P13" s="30" t="n"/>
    </row>
    <row r="14">
      <c r="A14" s="26" t="n"/>
      <c r="B14" s="26" t="n"/>
      <c r="C14" s="26" t="n"/>
      <c r="D14" s="26" t="n"/>
      <c r="E14" s="34" t="n"/>
      <c r="F14" s="26" t="n"/>
      <c r="G14" s="34" t="n"/>
      <c r="H14" s="62">
        <f>IF(G14="","",IF(G14&gt;TODAY(),"Upcoming",TODAY()-G14))</f>
        <v/>
      </c>
      <c r="I14" s="8">
        <f>IF(F14="","",IF(F14="Unknown","Confirm where it stands",IF(AND(OR(J14=TRUE,J14="Yes"),IFERROR(VALUE(MID(F14,FIND("(",F14)+1,FIND(")",F14,FIND("(",F14))-FIND("(",F14)-1))&gt;=2,FALSE)),"Expedited path: send to final approval",IFERROR(CHOOSE(VALUE(MID(F14,FIND("(",F14)+1,FIND(")",F14,FIND("(",F14))-FIND("(",F14)-1)),"Send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4" s="28" t="n"/>
      <c r="K14" s="34" t="n"/>
      <c r="L14" s="35">
        <f>IF(AND(OR(J14=TRUE,J14="Yes"),ISNUMBER(K14)),K14+30,"")</f>
        <v/>
      </c>
      <c r="M14" s="28" t="n"/>
      <c r="N14" s="26" t="n"/>
      <c r="O14" s="26" t="n"/>
      <c r="P14" s="30" t="n"/>
    </row>
    <row r="15">
      <c r="A15" s="26" t="n"/>
      <c r="B15" s="26" t="n"/>
      <c r="C15" s="26" t="n"/>
      <c r="D15" s="26" t="n"/>
      <c r="E15" s="34" t="n"/>
      <c r="F15" s="26" t="n"/>
      <c r="G15" s="34" t="n"/>
      <c r="H15" s="62">
        <f>IF(G15="","",IF(G15&gt;TODAY(),"Upcoming",TODAY()-G15))</f>
        <v/>
      </c>
      <c r="I15" s="8">
        <f>IF(F15="","",IF(F15="Unknown","Confirm where it stands",IF(AND(OR(J15=TRUE,J15="Yes"),IFERROR(VALUE(MID(F15,FIND("(",F15)+1,FIND(")",F15,FIND("(",F15))-FIND("(",F15)-1))&gt;=2,FALSE)),"Expedited path: send to final approval",IFERROR(CHOOSE(VALUE(MID(F15,FIND("(",F15)+1,FIND(")",F15,FIND("(",F15))-FIND("(",F15)-1)),"Send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5" s="28" t="n"/>
      <c r="K15" s="34" t="n"/>
      <c r="L15" s="35">
        <f>IF(AND(OR(J15=TRUE,J15="Yes"),ISNUMBER(K15)),K15+30,"")</f>
        <v/>
      </c>
      <c r="M15" s="28" t="n"/>
      <c r="N15" s="26" t="n"/>
      <c r="O15" s="26" t="n"/>
      <c r="P15" s="30" t="n"/>
    </row>
    <row r="16">
      <c r="A16" s="26" t="n"/>
      <c r="B16" s="26" t="n"/>
      <c r="C16" s="26" t="n"/>
      <c r="D16" s="26" t="n"/>
      <c r="E16" s="34" t="n"/>
      <c r="F16" s="26" t="n"/>
      <c r="G16" s="34" t="n"/>
      <c r="H16" s="62">
        <f>IF(G16="","",IF(G16&gt;TODAY(),"Upcoming",TODAY()-G16))</f>
        <v/>
      </c>
      <c r="I16" s="8">
        <f>IF(F16="","",IF(F16="Unknown","Confirm where it stands",IF(AND(OR(J16=TRUE,J16="Yes"),IFERROR(VALUE(MID(F16,FIND("(",F16)+1,FIND(")",F16,FIND("(",F16))-FIND("(",F16)-1))&gt;=2,FALSE)),"Expedited path: send to final approval",IFERROR(CHOOSE(VALUE(MID(F16,FIND("(",F16)+1,FIND(")",F16,FIND("(",F16))-FIND("(",F16)-1)),"Send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6" s="28" t="n"/>
      <c r="K16" s="34" t="n"/>
      <c r="L16" s="35">
        <f>IF(AND(OR(J16=TRUE,J16="Yes"),ISNUMBER(K16)),K16+30,"")</f>
        <v/>
      </c>
      <c r="M16" s="28" t="n"/>
      <c r="N16" s="26" t="n"/>
      <c r="O16" s="26" t="n"/>
      <c r="P16" s="30" t="n"/>
    </row>
    <row r="17">
      <c r="A17" s="26" t="n"/>
      <c r="B17" s="26" t="n"/>
      <c r="C17" s="26" t="n"/>
      <c r="D17" s="26" t="n"/>
      <c r="E17" s="34" t="n"/>
      <c r="F17" s="26" t="n"/>
      <c r="G17" s="34" t="n"/>
      <c r="H17" s="62">
        <f>IF(G17="","",IF(G17&gt;TODAY(),"Upcoming",TODAY()-G17))</f>
        <v/>
      </c>
      <c r="I17" s="8">
        <f>IF(F17="","",IF(F17="Unknown","Confirm where it stands",IF(AND(OR(J17=TRUE,J17="Yes"),IFERROR(VALUE(MID(F17,FIND("(",F17)+1,FIND(")",F17,FIND("(",F17))-FIND("(",F17)-1))&gt;=2,FALSE)),"Expedited path: send to final approval",IFERROR(CHOOSE(VALUE(MID(F17,FIND("(",F17)+1,FIND(")",F17,FIND("(",F17))-FIND("(",F17)-1)),"Send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7" s="28" t="n"/>
      <c r="K17" s="34" t="n"/>
      <c r="L17" s="35">
        <f>IF(AND(OR(J17=TRUE,J17="Yes"),ISNUMBER(K17)),K17+30,"")</f>
        <v/>
      </c>
      <c r="M17" s="28" t="n"/>
      <c r="N17" s="26" t="n"/>
      <c r="O17" s="26" t="n"/>
      <c r="P17" s="30" t="n"/>
    </row>
    <row r="18">
      <c r="A18" s="26" t="n"/>
      <c r="B18" s="26" t="n"/>
      <c r="C18" s="26" t="n"/>
      <c r="D18" s="26" t="n"/>
      <c r="E18" s="34" t="n"/>
      <c r="F18" s="26" t="n"/>
      <c r="G18" s="34" t="n"/>
      <c r="H18" s="62">
        <f>IF(G18="","",IF(G18&gt;TODAY(),"Upcoming",TODAY()-G18))</f>
        <v/>
      </c>
      <c r="I18" s="8">
        <f>IF(F18="","",IF(F18="Unknown","Confirm where it stands",IF(AND(OR(J18=TRUE,J18="Yes"),IFERROR(VALUE(MID(F18,FIND("(",F18)+1,FIND(")",F18,FIND("(",F18))-FIND("(",F18)-1))&gt;=2,FALSE)),"Expedited path: send to final approval",IFERROR(CHOOSE(VALUE(MID(F18,FIND("(",F18)+1,FIND(")",F18,FIND("(",F18))-FIND("(",F18)-1)),"Send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8" s="28" t="n"/>
      <c r="K18" s="34" t="n"/>
      <c r="L18" s="35">
        <f>IF(AND(OR(J18=TRUE,J18="Yes"),ISNUMBER(K18)),K18+30,"")</f>
        <v/>
      </c>
      <c r="M18" s="28" t="n"/>
      <c r="N18" s="26" t="n"/>
      <c r="O18" s="26" t="n"/>
      <c r="P18" s="30" t="n"/>
    </row>
    <row r="19">
      <c r="A19" s="26" t="n"/>
      <c r="B19" s="26" t="n"/>
      <c r="C19" s="26" t="n"/>
      <c r="D19" s="26" t="n"/>
      <c r="E19" s="34" t="n"/>
      <c r="F19" s="26" t="n"/>
      <c r="G19" s="34" t="n"/>
      <c r="H19" s="62">
        <f>IF(G19="","",IF(G19&gt;TODAY(),"Upcoming",TODAY()-G19))</f>
        <v/>
      </c>
      <c r="I19" s="8">
        <f>IF(F19="","",IF(F19="Unknown","Confirm where it stands",IF(AND(OR(J19=TRUE,J19="Yes"),IFERROR(VALUE(MID(F19,FIND("(",F19)+1,FIND(")",F19,FIND("(",F19))-FIND("(",F19)-1))&gt;=2,FALSE)),"Expedited path: send to final approval",IFERROR(CHOOSE(VALUE(MID(F19,FIND("(",F19)+1,FIND(")",F19,FIND("(",F19))-FIND("(",F19)-1)),"Send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9" s="28" t="n"/>
      <c r="K19" s="34" t="n"/>
      <c r="L19" s="35">
        <f>IF(AND(OR(J19=TRUE,J19="Yes"),ISNUMBER(K19)),K19+30,"")</f>
        <v/>
      </c>
      <c r="M19" s="28" t="n"/>
      <c r="N19" s="26" t="n"/>
      <c r="O19" s="26" t="n"/>
      <c r="P19" s="30" t="n"/>
    </row>
    <row r="20">
      <c r="A20" s="26" t="n"/>
      <c r="B20" s="26" t="n"/>
      <c r="C20" s="26" t="n"/>
      <c r="D20" s="26" t="n"/>
      <c r="E20" s="34" t="n"/>
      <c r="F20" s="26" t="n"/>
      <c r="G20" s="34" t="n"/>
      <c r="H20" s="62">
        <f>IF(G20="","",IF(G20&gt;TODAY(),"Upcoming",TODAY()-G20))</f>
        <v/>
      </c>
      <c r="I20" s="8">
        <f>IF(F20="","",IF(F20="Unknown","Confirm where it stands",IF(AND(OR(J20=TRUE,J20="Yes"),IFERROR(VALUE(MID(F20,FIND("(",F20)+1,FIND(")",F20,FIND("(",F20))-FIND("(",F20)-1))&gt;=2,FALSE)),"Expedited path: send to final approval",IFERROR(CHOOSE(VALUE(MID(F20,FIND("(",F20)+1,FIND(")",F20,FIND("(",F20))-FIND("(",F20)-1)),"Send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20" s="28" t="n"/>
      <c r="K20" s="34" t="n"/>
      <c r="L20" s="35">
        <f>IF(AND(OR(J20=TRUE,J20="Yes"),ISNUMBER(K20)),K20+30,"")</f>
        <v/>
      </c>
      <c r="M20" s="28" t="n"/>
      <c r="N20" s="26" t="n"/>
      <c r="O20" s="26" t="n"/>
      <c r="P20" s="30" t="n"/>
    </row>
    <row r="21">
      <c r="A21" s="26" t="n"/>
      <c r="B21" s="26" t="n"/>
      <c r="C21" s="26" t="n"/>
      <c r="D21" s="26" t="n"/>
      <c r="E21" s="34" t="n"/>
      <c r="F21" s="26" t="n"/>
      <c r="G21" s="34" t="n"/>
      <c r="H21" s="62">
        <f>IF(G21="","",IF(G21&gt;TODAY(),"Upcoming",TODAY()-G21))</f>
        <v/>
      </c>
      <c r="I21" s="8">
        <f>IF(F21="","",IF(F21="Unknown","Confirm where it stands",IF(AND(OR(J21=TRUE,J21="Yes"),IFERROR(VALUE(MID(F21,FIND("(",F21)+1,FIND(")",F21,FIND("(",F21))-FIND("(",F21)-1))&gt;=2,FALSE)),"Expedited path: send to final approval",IFERROR(CHOOSE(VALUE(MID(F21,FIND("(",F21)+1,FIND(")",F21,FIND("(",F21))-FIND("(",F21)-1)),"Send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21" s="28" t="n"/>
      <c r="K21" s="34" t="n"/>
      <c r="L21" s="35">
        <f>IF(AND(OR(J21=TRUE,J21="Yes"),ISNUMBER(K21)),K21+30,"")</f>
        <v/>
      </c>
      <c r="M21" s="28" t="n"/>
      <c r="N21" s="26" t="n"/>
      <c r="O21" s="26" t="n"/>
      <c r="P21" s="30" t="n"/>
    </row>
    <row r="22">
      <c r="A22" s="26" t="n"/>
      <c r="B22" s="26" t="n"/>
      <c r="C22" s="26" t="n"/>
      <c r="D22" s="26" t="n"/>
      <c r="E22" s="34" t="n"/>
      <c r="F22" s="26" t="n"/>
      <c r="G22" s="34" t="n"/>
      <c r="H22" s="62">
        <f>IF(G22="","",IF(G22&gt;TODAY(),"Upcoming",TODAY()-G22))</f>
        <v/>
      </c>
      <c r="I22" s="8">
        <f>IF(F22="","",IF(F22="Unknown","Confirm where it stands",IF(AND(OR(J22=TRUE,J22="Yes"),IFERROR(VALUE(MID(F22,FIND("(",F22)+1,FIND(")",F22,FIND("(",F22))-FIND("(",F22)-1))&gt;=2,FALSE)),"Expedited path: send to final approval",IFERROR(CHOOSE(VALUE(MID(F22,FIND("(",F22)+1,FIND(")",F22,FIND("(",F22))-FIND("(",F22)-1)),"Send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22" s="28" t="n"/>
      <c r="K22" s="34" t="n"/>
      <c r="L22" s="35">
        <f>IF(AND(OR(J22=TRUE,J22="Yes"),ISNUMBER(K22)),K22+30,"")</f>
        <v/>
      </c>
      <c r="M22" s="28" t="n"/>
      <c r="N22" s="26" t="n"/>
      <c r="O22" s="26" t="n"/>
      <c r="P22" s="30" t="n"/>
    </row>
    <row r="23">
      <c r="A23" s="26" t="n"/>
      <c r="B23" s="26" t="n"/>
      <c r="C23" s="26" t="n"/>
      <c r="D23" s="26" t="n"/>
      <c r="E23" s="34" t="n"/>
      <c r="F23" s="26" t="n"/>
      <c r="G23" s="34" t="n"/>
      <c r="H23" s="62">
        <f>IF(G23="","",IF(G23&gt;TODAY(),"Upcoming",TODAY()-G23))</f>
        <v/>
      </c>
      <c r="I23" s="8">
        <f>IF(F23="","",IF(F23="Unknown","Confirm where it stands",IF(AND(OR(J23=TRUE,J23="Yes"),IFERROR(VALUE(MID(F23,FIND("(",F23)+1,FIND(")",F23,FIND("(",F23))-FIND("(",F23)-1))&gt;=2,FALSE)),"Expedited path: send to final approval",IFERROR(CHOOSE(VALUE(MID(F23,FIND("(",F23)+1,FIND(")",F23,FIND("(",F23))-FIND("(",F23)-1)),"Send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23" s="28" t="n"/>
      <c r="K23" s="34" t="n"/>
      <c r="L23" s="35">
        <f>IF(AND(OR(J23=TRUE,J23="Yes"),ISNUMBER(K23)),K23+30,"")</f>
        <v/>
      </c>
      <c r="M23" s="28" t="n"/>
      <c r="N23" s="26" t="n"/>
      <c r="O23" s="26" t="n"/>
      <c r="P23" s="30" t="n"/>
    </row>
    <row r="24">
      <c r="A24" s="26" t="n"/>
      <c r="B24" s="26" t="n"/>
      <c r="C24" s="26" t="n"/>
      <c r="D24" s="26" t="n"/>
      <c r="E24" s="34" t="n"/>
      <c r="F24" s="26" t="n"/>
      <c r="G24" s="34" t="n"/>
      <c r="H24" s="62">
        <f>IF(G24="","",IF(G24&gt;TODAY(),"Upcoming",TODAY()-G24))</f>
        <v/>
      </c>
      <c r="I24" s="8">
        <f>IF(F24="","",IF(F24="Unknown","Confirm where it stands",IF(AND(OR(J24=TRUE,J24="Yes"),IFERROR(VALUE(MID(F24,FIND("(",F24)+1,FIND(")",F24,FIND("(",F24))-FIND("(",F24)-1))&gt;=2,FALSE)),"Expedited path: send to final approval",IFERROR(CHOOSE(VALUE(MID(F24,FIND("(",F24)+1,FIND(")",F24,FIND("(",F24))-FIND("(",F24)-1)),"Send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24" s="28" t="n"/>
      <c r="K24" s="34" t="n"/>
      <c r="L24" s="35">
        <f>IF(AND(OR(J24=TRUE,J24="Yes"),ISNUMBER(K24)),K24+30,"")</f>
        <v/>
      </c>
      <c r="M24" s="28" t="n"/>
      <c r="N24" s="26" t="n"/>
      <c r="O24" s="26" t="n"/>
      <c r="P24" s="30" t="n"/>
    </row>
    <row r="25">
      <c r="A25" s="26" t="n"/>
      <c r="B25" s="26" t="n"/>
      <c r="C25" s="26" t="n"/>
      <c r="D25" s="26" t="n"/>
      <c r="E25" s="34" t="n"/>
      <c r="F25" s="26" t="n"/>
      <c r="G25" s="34" t="n"/>
      <c r="H25" s="62">
        <f>IF(G25="","",IF(G25&gt;TODAY(),"Upcoming",TODAY()-G25))</f>
        <v/>
      </c>
      <c r="I25" s="8">
        <f>IF(F25="","",IF(F25="Unknown","Confirm where it stands",IF(AND(OR(J25=TRUE,J25="Yes"),IFERROR(VALUE(MID(F25,FIND("(",F25)+1,FIND(")",F25,FIND("(",F25))-FIND("(",F25)-1))&gt;=2,FALSE)),"Expedited path: send to final approval",IFERROR(CHOOSE(VALUE(MID(F25,FIND("(",F25)+1,FIND(")",F25,FIND("(",F25))-FIND("(",F25)-1)),"Send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25" s="28" t="n"/>
      <c r="K25" s="34" t="n"/>
      <c r="L25" s="35">
        <f>IF(AND(OR(J25=TRUE,J25="Yes"),ISNUMBER(K25)),K25+30,"")</f>
        <v/>
      </c>
      <c r="M25" s="28" t="n"/>
      <c r="N25" s="26" t="n"/>
      <c r="O25" s="26" t="n"/>
      <c r="P25" s="30" t="n"/>
    </row>
    <row r="26">
      <c r="A26" s="26" t="n"/>
      <c r="B26" s="26" t="n"/>
      <c r="C26" s="26" t="n"/>
      <c r="D26" s="26" t="n"/>
      <c r="E26" s="34" t="n"/>
      <c r="F26" s="26" t="n"/>
      <c r="G26" s="34" t="n"/>
      <c r="H26" s="62">
        <f>IF(G26="","",IF(G26&gt;TODAY(),"Upcoming",TODAY()-G26))</f>
        <v/>
      </c>
      <c r="I26" s="8">
        <f>IF(F26="","",IF(F26="Unknown","Confirm where it stands",IF(AND(OR(J26=TRUE,J26="Yes"),IFERROR(VALUE(MID(F26,FIND("(",F26)+1,FIND(")",F26,FIND("(",F26))-FIND("(",F26)-1))&gt;=2,FALSE)),"Expedited path: send to final approval",IFERROR(CHOOSE(VALUE(MID(F26,FIND("(",F26)+1,FIND(")",F26,FIND("(",F26))-FIND("(",F26)-1)),"Send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26" s="28" t="n"/>
      <c r="K26" s="34" t="n"/>
      <c r="L26" s="35">
        <f>IF(AND(OR(J26=TRUE,J26="Yes"),ISNUMBER(K26)),K26+30,"")</f>
        <v/>
      </c>
      <c r="M26" s="28" t="n"/>
      <c r="N26" s="26" t="n"/>
      <c r="O26" s="26" t="n"/>
      <c r="P26" s="30" t="n"/>
    </row>
    <row r="27">
      <c r="A27" s="26" t="n"/>
      <c r="B27" s="26" t="n"/>
      <c r="C27" s="26" t="n"/>
      <c r="D27" s="26" t="n"/>
      <c r="E27" s="34" t="n"/>
      <c r="F27" s="26" t="n"/>
      <c r="G27" s="34" t="n"/>
      <c r="H27" s="62">
        <f>IF(G27="","",IF(G27&gt;TODAY(),"Upcoming",TODAY()-G27))</f>
        <v/>
      </c>
      <c r="I27" s="8">
        <f>IF(F27="","",IF(F27="Unknown","Confirm where it stands",IF(AND(OR(J27=TRUE,J27="Yes"),IFERROR(VALUE(MID(F27,FIND("(",F27)+1,FIND(")",F27,FIND("(",F27))-FIND("(",F27)-1))&gt;=2,FALSE)),"Expedited path: send to final approval",IFERROR(CHOOSE(VALUE(MID(F27,FIND("(",F27)+1,FIND(")",F27,FIND("(",F27))-FIND("(",F27)-1)),"Send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27" s="28" t="n"/>
      <c r="K27" s="34" t="n"/>
      <c r="L27" s="35">
        <f>IF(AND(OR(J27=TRUE,J27="Yes"),ISNUMBER(K27)),K27+30,"")</f>
        <v/>
      </c>
      <c r="M27" s="28" t="n"/>
      <c r="N27" s="26" t="n"/>
      <c r="O27" s="26" t="n"/>
      <c r="P27" s="30" t="n"/>
    </row>
    <row r="28">
      <c r="A28" s="26" t="n"/>
      <c r="B28" s="26" t="n"/>
      <c r="C28" s="26" t="n"/>
      <c r="D28" s="26" t="n"/>
      <c r="E28" s="34" t="n"/>
      <c r="F28" s="26" t="n"/>
      <c r="G28" s="34" t="n"/>
      <c r="H28" s="62">
        <f>IF(G28="","",IF(G28&gt;TODAY(),"Upcoming",TODAY()-G28))</f>
        <v/>
      </c>
      <c r="I28" s="8">
        <f>IF(F28="","",IF(F28="Unknown","Confirm where it stands",IF(AND(OR(J28=TRUE,J28="Yes"),IFERROR(VALUE(MID(F28,FIND("(",F28)+1,FIND(")",F28,FIND("(",F28))-FIND("(",F28)-1))&gt;=2,FALSE)),"Expedited path: send to final approval",IFERROR(CHOOSE(VALUE(MID(F28,FIND("(",F28)+1,FIND(")",F28,FIND("(",F28))-FIND("(",F28)-1)),"Send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28" s="28" t="n"/>
      <c r="K28" s="34" t="n"/>
      <c r="L28" s="35">
        <f>IF(AND(OR(J28=TRUE,J28="Yes"),ISNUMBER(K28)),K28+30,"")</f>
        <v/>
      </c>
      <c r="M28" s="28" t="n"/>
      <c r="N28" s="26" t="n"/>
      <c r="O28" s="26" t="n"/>
      <c r="P28" s="30" t="n"/>
    </row>
    <row r="29">
      <c r="A29" s="26" t="n"/>
      <c r="B29" s="26" t="n"/>
      <c r="C29" s="26" t="n"/>
      <c r="D29" s="26" t="n"/>
      <c r="E29" s="34" t="n"/>
      <c r="F29" s="26" t="n"/>
      <c r="G29" s="34" t="n"/>
      <c r="H29" s="62">
        <f>IF(G29="","",IF(G29&gt;TODAY(),"Upcoming",TODAY()-G29))</f>
        <v/>
      </c>
      <c r="I29" s="8">
        <f>IF(F29="","",IF(F29="Unknown","Confirm where it stands",IF(AND(OR(J29=TRUE,J29="Yes"),IFERROR(VALUE(MID(F29,FIND("(",F29)+1,FIND(")",F29,FIND("(",F29))-FIND("(",F29)-1))&gt;=2,FALSE)),"Expedited path: send to final approval",IFERROR(CHOOSE(VALUE(MID(F29,FIND("(",F29)+1,FIND(")",F29,FIND("(",F29))-FIND("(",F29)-1)),"Send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29" s="28" t="n"/>
      <c r="K29" s="34" t="n"/>
      <c r="L29" s="35">
        <f>IF(AND(OR(J29=TRUE,J29="Yes"),ISNUMBER(K29)),K29+30,"")</f>
        <v/>
      </c>
      <c r="M29" s="28" t="n"/>
      <c r="N29" s="26" t="n"/>
      <c r="O29" s="26" t="n"/>
      <c r="P29" s="30" t="n"/>
    </row>
    <row r="30">
      <c r="A30" s="26" t="n"/>
      <c r="B30" s="26" t="n"/>
      <c r="C30" s="26" t="n"/>
      <c r="D30" s="26" t="n"/>
      <c r="E30" s="34" t="n"/>
      <c r="F30" s="26" t="n"/>
      <c r="G30" s="34" t="n"/>
      <c r="H30" s="62">
        <f>IF(G30="","",IF(G30&gt;TODAY(),"Upcoming",TODAY()-G30))</f>
        <v/>
      </c>
      <c r="I30" s="8">
        <f>IF(F30="","",IF(F30="Unknown","Confirm where it stands",IF(AND(OR(J30=TRUE,J30="Yes"),IFERROR(VALUE(MID(F30,FIND("(",F30)+1,FIND(")",F30,FIND("(",F30))-FIND("(",F30)-1))&gt;=2,FALSE)),"Expedited path: send to final approval",IFERROR(CHOOSE(VALUE(MID(F30,FIND("(",F30)+1,FIND(")",F30,FIND("(",F30))-FIND("(",F30)-1)),"Send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30" s="28" t="n"/>
      <c r="K30" s="34" t="n"/>
      <c r="L30" s="35">
        <f>IF(AND(OR(J30=TRUE,J30="Yes"),ISNUMBER(K30)),K30+30,"")</f>
        <v/>
      </c>
      <c r="M30" s="28" t="n"/>
      <c r="N30" s="26" t="n"/>
      <c r="O30" s="26" t="n"/>
      <c r="P30" s="30" t="n"/>
    </row>
    <row r="31">
      <c r="A31" s="26" t="n"/>
      <c r="B31" s="26" t="n"/>
      <c r="C31" s="26" t="n"/>
      <c r="D31" s="26" t="n"/>
      <c r="E31" s="34" t="n"/>
      <c r="F31" s="26" t="n"/>
      <c r="G31" s="34" t="n"/>
      <c r="H31" s="62">
        <f>IF(G31="","",IF(G31&gt;TODAY(),"Upcoming",TODAY()-G31))</f>
        <v/>
      </c>
      <c r="I31" s="8">
        <f>IF(F31="","",IF(F31="Unknown","Confirm where it stands",IF(AND(OR(J31=TRUE,J31="Yes"),IFERROR(VALUE(MID(F31,FIND("(",F31)+1,FIND(")",F31,FIND("(",F31))-FIND("(",F31)-1))&gt;=2,FALSE)),"Expedited path: send to final approval",IFERROR(CHOOSE(VALUE(MID(F31,FIND("(",F31)+1,FIND(")",F31,FIND("(",F31))-FIND("(",F31)-1)),"Send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31" s="28" t="n"/>
      <c r="K31" s="34" t="n"/>
      <c r="L31" s="35">
        <f>IF(AND(OR(J31=TRUE,J31="Yes"),ISNUMBER(K31)),K31+30,"")</f>
        <v/>
      </c>
      <c r="M31" s="28" t="n"/>
      <c r="N31" s="26" t="n"/>
      <c r="O31" s="26" t="n"/>
      <c r="P31" s="30" t="n"/>
    </row>
    <row r="32">
      <c r="A32" s="26" t="n"/>
      <c r="B32" s="26" t="n"/>
      <c r="C32" s="26" t="n"/>
      <c r="D32" s="26" t="n"/>
      <c r="E32" s="34" t="n"/>
      <c r="F32" s="26" t="n"/>
      <c r="G32" s="34" t="n"/>
      <c r="H32" s="62">
        <f>IF(G32="","",IF(G32&gt;TODAY(),"Upcoming",TODAY()-G32))</f>
        <v/>
      </c>
      <c r="I32" s="8">
        <f>IF(F32="","",IF(F32="Unknown","Confirm where it stands",IF(AND(OR(J32=TRUE,J32="Yes"),IFERROR(VALUE(MID(F32,FIND("(",F32)+1,FIND(")",F32,FIND("(",F32))-FIND("(",F32)-1))&gt;=2,FALSE)),"Expedited path: send to final approval",IFERROR(CHOOSE(VALUE(MID(F32,FIND("(",F32)+1,FIND(")",F32,FIND("(",F32))-FIND("(",F32)-1)),"Send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32" s="28" t="n"/>
      <c r="K32" s="34" t="n"/>
      <c r="L32" s="35">
        <f>IF(AND(OR(J32=TRUE,J32="Yes"),ISNUMBER(K32)),K32+30,"")</f>
        <v/>
      </c>
      <c r="M32" s="28" t="n"/>
      <c r="N32" s="26" t="n"/>
      <c r="O32" s="26" t="n"/>
      <c r="P32" s="30" t="n"/>
    </row>
    <row r="33">
      <c r="A33" s="26" t="n"/>
      <c r="B33" s="26" t="n"/>
      <c r="C33" s="26" t="n"/>
      <c r="D33" s="26" t="n"/>
      <c r="E33" s="34" t="n"/>
      <c r="F33" s="26" t="n"/>
      <c r="G33" s="34" t="n"/>
      <c r="H33" s="62">
        <f>IF(G33="","",IF(G33&gt;TODAY(),"Upcoming",TODAY()-G33))</f>
        <v/>
      </c>
      <c r="I33" s="8">
        <f>IF(F33="","",IF(F33="Unknown","Confirm where it stands",IF(AND(OR(J33=TRUE,J33="Yes"),IFERROR(VALUE(MID(F33,FIND("(",F33)+1,FIND(")",F33,FIND("(",F33))-FIND("(",F33)-1))&gt;=2,FALSE)),"Expedited path: send to final approval",IFERROR(CHOOSE(VALUE(MID(F33,FIND("(",F33)+1,FIND(")",F33,FIND("(",F33))-FIND("(",F33)-1)),"Send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33" s="28" t="n"/>
      <c r="K33" s="34" t="n"/>
      <c r="L33" s="35">
        <f>IF(AND(OR(J33=TRUE,J33="Yes"),ISNUMBER(K33)),K33+30,"")</f>
        <v/>
      </c>
      <c r="M33" s="28" t="n"/>
      <c r="N33" s="26" t="n"/>
      <c r="O33" s="26" t="n"/>
      <c r="P33" s="30" t="n"/>
    </row>
    <row r="34">
      <c r="A34" s="26" t="n"/>
      <c r="B34" s="26" t="n"/>
      <c r="C34" s="26" t="n"/>
      <c r="D34" s="26" t="n"/>
      <c r="E34" s="34" t="n"/>
      <c r="F34" s="26" t="n"/>
      <c r="G34" s="34" t="n"/>
      <c r="H34" s="62">
        <f>IF(G34="","",IF(G34&gt;TODAY(),"Upcoming",TODAY()-G34))</f>
        <v/>
      </c>
      <c r="I34" s="8">
        <f>IF(F34="","",IF(F34="Unknown","Confirm where it stands",IF(AND(OR(J34=TRUE,J34="Yes"),IFERROR(VALUE(MID(F34,FIND("(",F34)+1,FIND(")",F34,FIND("(",F34))-FIND("(",F34)-1))&gt;=2,FALSE)),"Expedited path: send to final approval",IFERROR(CHOOSE(VALUE(MID(F34,FIND("(",F34)+1,FIND(")",F34,FIND("(",F34))-FIND("(",F34)-1)),"Send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34" s="28" t="n"/>
      <c r="K34" s="34" t="n"/>
      <c r="L34" s="35">
        <f>IF(AND(OR(J34=TRUE,J34="Yes"),ISNUMBER(K34)),K34+30,"")</f>
        <v/>
      </c>
      <c r="M34" s="28" t="n"/>
      <c r="N34" s="26" t="n"/>
      <c r="O34" s="26" t="n"/>
      <c r="P34" s="30" t="n"/>
    </row>
    <row r="35">
      <c r="A35" s="26" t="n"/>
      <c r="B35" s="26" t="n"/>
      <c r="C35" s="26" t="n"/>
      <c r="D35" s="26" t="n"/>
      <c r="E35" s="34" t="n"/>
      <c r="F35" s="26" t="n"/>
      <c r="G35" s="34" t="n"/>
      <c r="H35" s="62">
        <f>IF(G35="","",IF(G35&gt;TODAY(),"Upcoming",TODAY()-G35))</f>
        <v/>
      </c>
      <c r="I35" s="8">
        <f>IF(F35="","",IF(F35="Unknown","Confirm where it stands",IF(AND(OR(J35=TRUE,J35="Yes"),IFERROR(VALUE(MID(F35,FIND("(",F35)+1,FIND(")",F35,FIND("(",F35))-FIND("(",F35)-1))&gt;=2,FALSE)),"Expedited path: send to final approval",IFERROR(CHOOSE(VALUE(MID(F35,FIND("(",F35)+1,FIND(")",F35,FIND("(",F35))-FIND("(",F35)-1)),"Send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35" s="28" t="n"/>
      <c r="K35" s="34" t="n"/>
      <c r="L35" s="35">
        <f>IF(AND(OR(J35=TRUE,J35="Yes"),ISNUMBER(K35)),K35+30,"")</f>
        <v/>
      </c>
      <c r="M35" s="28" t="n"/>
      <c r="N35" s="26" t="n"/>
      <c r="O35" s="26" t="n"/>
      <c r="P35" s="30" t="n"/>
    </row>
    <row r="36">
      <c r="A36" s="26" t="n"/>
      <c r="B36" s="26" t="n"/>
      <c r="C36" s="26" t="n"/>
      <c r="D36" s="26" t="n"/>
      <c r="E36" s="34" t="n"/>
      <c r="F36" s="26" t="n"/>
      <c r="G36" s="34" t="n"/>
      <c r="H36" s="62">
        <f>IF(G36="","",IF(G36&gt;TODAY(),"Upcoming",TODAY()-G36))</f>
        <v/>
      </c>
      <c r="I36" s="8">
        <f>IF(F36="","",IF(F36="Unknown","Confirm where it stands",IF(AND(OR(J36=TRUE,J36="Yes"),IFERROR(VALUE(MID(F36,FIND("(",F36)+1,FIND(")",F36,FIND("(",F36))-FIND("(",F36)-1))&gt;=2,FALSE)),"Expedited path: send to final approval",IFERROR(CHOOSE(VALUE(MID(F36,FIND("(",F36)+1,FIND(")",F36,FIND("(",F36))-FIND("(",F36)-1)),"Send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36" s="28" t="n"/>
      <c r="K36" s="34" t="n"/>
      <c r="L36" s="35">
        <f>IF(AND(OR(J36=TRUE,J36="Yes"),ISNUMBER(K36)),K36+30,"")</f>
        <v/>
      </c>
      <c r="M36" s="28" t="n"/>
      <c r="N36" s="26" t="n"/>
      <c r="O36" s="26" t="n"/>
      <c r="P36" s="30" t="n"/>
    </row>
    <row r="37">
      <c r="A37" s="26" t="n"/>
      <c r="B37" s="26" t="n"/>
      <c r="C37" s="26" t="n"/>
      <c r="D37" s="26" t="n"/>
      <c r="E37" s="34" t="n"/>
      <c r="F37" s="26" t="n"/>
      <c r="G37" s="34" t="n"/>
      <c r="H37" s="62">
        <f>IF(G37="","",IF(G37&gt;TODAY(),"Upcoming",TODAY()-G37))</f>
        <v/>
      </c>
      <c r="I37" s="8">
        <f>IF(F37="","",IF(F37="Unknown","Confirm where it stands",IF(AND(OR(J37=TRUE,J37="Yes"),IFERROR(VALUE(MID(F37,FIND("(",F37)+1,FIND(")",F37,FIND("(",F37))-FIND("(",F37)-1))&gt;=2,FALSE)),"Expedited path: send to final approval",IFERROR(CHOOSE(VALUE(MID(F37,FIND("(",F37)+1,FIND(")",F37,FIND("(",F37))-FIND("(",F37)-1)),"Send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37" s="28" t="n"/>
      <c r="K37" s="34" t="n"/>
      <c r="L37" s="35">
        <f>IF(AND(OR(J37=TRUE,J37="Yes"),ISNUMBER(K37)),K37+30,"")</f>
        <v/>
      </c>
      <c r="M37" s="28" t="n"/>
      <c r="N37" s="26" t="n"/>
      <c r="O37" s="26" t="n"/>
      <c r="P37" s="30" t="n"/>
    </row>
    <row r="38">
      <c r="A38" s="26" t="n"/>
      <c r="B38" s="26" t="n"/>
      <c r="C38" s="26" t="n"/>
      <c r="D38" s="26" t="n"/>
      <c r="E38" s="34" t="n"/>
      <c r="F38" s="26" t="n"/>
      <c r="G38" s="34" t="n"/>
      <c r="H38" s="62">
        <f>IF(G38="","",IF(G38&gt;TODAY(),"Upcoming",TODAY()-G38))</f>
        <v/>
      </c>
      <c r="I38" s="8">
        <f>IF(F38="","",IF(F38="Unknown","Confirm where it stands",IF(AND(OR(J38=TRUE,J38="Yes"),IFERROR(VALUE(MID(F38,FIND("(",F38)+1,FIND(")",F38,FIND("(",F38))-FIND("(",F38)-1))&gt;=2,FALSE)),"Expedited path: send to final approval",IFERROR(CHOOSE(VALUE(MID(F38,FIND("(",F38)+1,FIND(")",F38,FIND("(",F38))-FIND("(",F38)-1)),"Send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38" s="28" t="n"/>
      <c r="K38" s="34" t="n"/>
      <c r="L38" s="35">
        <f>IF(AND(OR(J38=TRUE,J38="Yes"),ISNUMBER(K38)),K38+30,"")</f>
        <v/>
      </c>
      <c r="M38" s="28" t="n"/>
      <c r="N38" s="26" t="n"/>
      <c r="O38" s="26" t="n"/>
      <c r="P38" s="30" t="n"/>
    </row>
    <row r="39">
      <c r="A39" s="26" t="n"/>
      <c r="B39" s="26" t="n"/>
      <c r="C39" s="26" t="n"/>
      <c r="D39" s="26" t="n"/>
      <c r="E39" s="34" t="n"/>
      <c r="F39" s="26" t="n"/>
      <c r="G39" s="34" t="n"/>
      <c r="H39" s="62">
        <f>IF(G39="","",IF(G39&gt;TODAY(),"Upcoming",TODAY()-G39))</f>
        <v/>
      </c>
      <c r="I39" s="8">
        <f>IF(F39="","",IF(F39="Unknown","Confirm where it stands",IF(AND(OR(J39=TRUE,J39="Yes"),IFERROR(VALUE(MID(F39,FIND("(",F39)+1,FIND(")",F39,FIND("(",F39))-FIND("(",F39)-1))&gt;=2,FALSE)),"Expedited path: send to final approval",IFERROR(CHOOSE(VALUE(MID(F39,FIND("(",F39)+1,FIND(")",F39,FIND("(",F39))-FIND("(",F39)-1)),"Send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39" s="28" t="n"/>
      <c r="K39" s="34" t="n"/>
      <c r="L39" s="35">
        <f>IF(AND(OR(J39=TRUE,J39="Yes"),ISNUMBER(K39)),K39+30,"")</f>
        <v/>
      </c>
      <c r="M39" s="28" t="n"/>
      <c r="N39" s="26" t="n"/>
      <c r="O39" s="26" t="n"/>
      <c r="P39" s="30" t="n"/>
    </row>
    <row r="40">
      <c r="A40" s="26" t="n"/>
      <c r="B40" s="26" t="n"/>
      <c r="C40" s="26" t="n"/>
      <c r="D40" s="26" t="n"/>
      <c r="E40" s="34" t="n"/>
      <c r="F40" s="26" t="n"/>
      <c r="G40" s="34" t="n"/>
      <c r="H40" s="62">
        <f>IF(G40="","",IF(G40&gt;TODAY(),"Upcoming",TODAY()-G40))</f>
        <v/>
      </c>
      <c r="I40" s="8">
        <f>IF(F40="","",IF(F40="Unknown","Confirm where it stands",IF(AND(OR(J40=TRUE,J40="Yes"),IFERROR(VALUE(MID(F40,FIND("(",F40)+1,FIND(")",F40,FIND("(",F40))-FIND("(",F40)-1))&gt;=2,FALSE)),"Expedited path: send to final approval",IFERROR(CHOOSE(VALUE(MID(F40,FIND("(",F40)+1,FIND(")",F40,FIND("(",F40))-FIND("(",F40)-1)),"Send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40" s="28" t="n"/>
      <c r="K40" s="34" t="n"/>
      <c r="L40" s="35">
        <f>IF(AND(OR(J40=TRUE,J40="Yes"),ISNUMBER(K40)),K40+30,"")</f>
        <v/>
      </c>
      <c r="M40" s="28" t="n"/>
      <c r="N40" s="26" t="n"/>
      <c r="O40" s="26" t="n"/>
      <c r="P40" s="30" t="n"/>
    </row>
    <row r="41">
      <c r="A41" s="26" t="n"/>
      <c r="B41" s="26" t="n"/>
      <c r="C41" s="26" t="n"/>
      <c r="D41" s="26" t="n"/>
      <c r="E41" s="34" t="n"/>
      <c r="F41" s="26" t="n"/>
      <c r="G41" s="34" t="n"/>
      <c r="H41" s="62">
        <f>IF(G41="","",IF(G41&gt;TODAY(),"Upcoming",TODAY()-G41))</f>
        <v/>
      </c>
      <c r="I41" s="8">
        <f>IF(F41="","",IF(F41="Unknown","Confirm where it stands",IF(AND(OR(J41=TRUE,J41="Yes"),IFERROR(VALUE(MID(F41,FIND("(",F41)+1,FIND(")",F41,FIND("(",F41))-FIND("(",F41)-1))&gt;=2,FALSE)),"Expedited path: send to final approval",IFERROR(CHOOSE(VALUE(MID(F41,FIND("(",F41)+1,FIND(")",F41,FIND("(",F41))-FIND("(",F41)-1)),"Send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41" s="28" t="n"/>
      <c r="K41" s="34" t="n"/>
      <c r="L41" s="35">
        <f>IF(AND(OR(J41=TRUE,J41="Yes"),ISNUMBER(K41)),K41+30,"")</f>
        <v/>
      </c>
      <c r="M41" s="28" t="n"/>
      <c r="N41" s="26" t="n"/>
      <c r="O41" s="26" t="n"/>
      <c r="P41" s="30" t="n"/>
    </row>
    <row r="42">
      <c r="A42" s="26" t="n"/>
      <c r="B42" s="26" t="n"/>
      <c r="C42" s="26" t="n"/>
      <c r="D42" s="26" t="n"/>
      <c r="E42" s="34" t="n"/>
      <c r="F42" s="26" t="n"/>
      <c r="G42" s="34" t="n"/>
      <c r="H42" s="62">
        <f>IF(G42="","",IF(G42&gt;TODAY(),"Upcoming",TODAY()-G42))</f>
        <v/>
      </c>
      <c r="I42" s="8">
        <f>IF(F42="","",IF(F42="Unknown","Confirm where it stands",IF(AND(OR(J42=TRUE,J42="Yes"),IFERROR(VALUE(MID(F42,FIND("(",F42)+1,FIND(")",F42,FIND("(",F42))-FIND("(",F42)-1))&gt;=2,FALSE)),"Expedited path: send to final approval",IFERROR(CHOOSE(VALUE(MID(F42,FIND("(",F42)+1,FIND(")",F42,FIND("(",F42))-FIND("(",F42)-1)),"Send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42" s="28" t="n"/>
      <c r="K42" s="34" t="n"/>
      <c r="L42" s="35">
        <f>IF(AND(OR(J42=TRUE,J42="Yes"),ISNUMBER(K42)),K42+30,"")</f>
        <v/>
      </c>
      <c r="M42" s="28" t="n"/>
      <c r="N42" s="26" t="n"/>
      <c r="O42" s="26" t="n"/>
      <c r="P42" s="30" t="n"/>
    </row>
    <row r="43">
      <c r="A43" s="26" t="n"/>
      <c r="B43" s="26" t="n"/>
      <c r="C43" s="26" t="n"/>
      <c r="D43" s="26" t="n"/>
      <c r="E43" s="34" t="n"/>
      <c r="F43" s="26" t="n"/>
      <c r="G43" s="34" t="n"/>
      <c r="H43" s="62">
        <f>IF(G43="","",IF(G43&gt;TODAY(),"Upcoming",TODAY()-G43))</f>
        <v/>
      </c>
      <c r="I43" s="8">
        <f>IF(F43="","",IF(F43="Unknown","Confirm where it stands",IF(AND(OR(J43=TRUE,J43="Yes"),IFERROR(VALUE(MID(F43,FIND("(",F43)+1,FIND(")",F43,FIND("(",F43))-FIND("(",F43)-1))&gt;=2,FALSE)),"Expedited path: send to final approval",IFERROR(CHOOSE(VALUE(MID(F43,FIND("(",F43)+1,FIND(")",F43,FIND("(",F43))-FIND("(",F43)-1)),"Send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43" s="28" t="n"/>
      <c r="K43" s="34" t="n"/>
      <c r="L43" s="35">
        <f>IF(AND(OR(J43=TRUE,J43="Yes"),ISNUMBER(K43)),K43+30,"")</f>
        <v/>
      </c>
      <c r="M43" s="28" t="n"/>
      <c r="N43" s="26" t="n"/>
      <c r="O43" s="26" t="n"/>
      <c r="P43" s="30" t="n"/>
    </row>
    <row r="44">
      <c r="A44" s="26" t="n"/>
      <c r="B44" s="26" t="n"/>
      <c r="C44" s="26" t="n"/>
      <c r="D44" s="26" t="n"/>
      <c r="E44" s="34" t="n"/>
      <c r="F44" s="26" t="n"/>
      <c r="G44" s="34" t="n"/>
      <c r="H44" s="62">
        <f>IF(G44="","",IF(G44&gt;TODAY(),"Upcoming",TODAY()-G44))</f>
        <v/>
      </c>
      <c r="I44" s="8">
        <f>IF(F44="","",IF(F44="Unknown","Confirm where it stands",IF(AND(OR(J44=TRUE,J44="Yes"),IFERROR(VALUE(MID(F44,FIND("(",F44)+1,FIND(")",F44,FIND("(",F44))-FIND("(",F44)-1))&gt;=2,FALSE)),"Expedited path: send to final approval",IFERROR(CHOOSE(VALUE(MID(F44,FIND("(",F44)+1,FIND(")",F44,FIND("(",F44))-FIND("(",F44)-1)),"Send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44" s="28" t="n"/>
      <c r="K44" s="34" t="n"/>
      <c r="L44" s="35">
        <f>IF(AND(OR(J44=TRUE,J44="Yes"),ISNUMBER(K44)),K44+30,"")</f>
        <v/>
      </c>
      <c r="M44" s="28" t="n"/>
      <c r="N44" s="26" t="n"/>
      <c r="O44" s="26" t="n"/>
      <c r="P44" s="30" t="n"/>
    </row>
    <row r="45">
      <c r="A45" s="26" t="n"/>
      <c r="B45" s="26" t="n"/>
      <c r="C45" s="26" t="n"/>
      <c r="D45" s="26" t="n"/>
      <c r="E45" s="34" t="n"/>
      <c r="F45" s="26" t="n"/>
      <c r="G45" s="34" t="n"/>
      <c r="H45" s="62">
        <f>IF(G45="","",IF(G45&gt;TODAY(),"Upcoming",TODAY()-G45))</f>
        <v/>
      </c>
      <c r="I45" s="8">
        <f>IF(F45="","",IF(F45="Unknown","Confirm where it stands",IF(AND(OR(J45=TRUE,J45="Yes"),IFERROR(VALUE(MID(F45,FIND("(",F45)+1,FIND(")",F45,FIND("(",F45))-FIND("(",F45)-1))&gt;=2,FALSE)),"Expedited path: send to final approval",IFERROR(CHOOSE(VALUE(MID(F45,FIND("(",F45)+1,FIND(")",F45,FIND("(",F45))-FIND("(",F45)-1)),"Send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45" s="28" t="n"/>
      <c r="K45" s="34" t="n"/>
      <c r="L45" s="35">
        <f>IF(AND(OR(J45=TRUE,J45="Yes"),ISNUMBER(K45)),K45+30,"")</f>
        <v/>
      </c>
      <c r="M45" s="28" t="n"/>
      <c r="N45" s="26" t="n"/>
      <c r="O45" s="26" t="n"/>
      <c r="P45" s="30" t="n"/>
    </row>
    <row r="46">
      <c r="A46" s="26" t="n"/>
      <c r="B46" s="26" t="n"/>
      <c r="C46" s="26" t="n"/>
      <c r="D46" s="26" t="n"/>
      <c r="E46" s="34" t="n"/>
      <c r="F46" s="26" t="n"/>
      <c r="G46" s="34" t="n"/>
      <c r="H46" s="62">
        <f>IF(G46="","",IF(G46&gt;TODAY(),"Upcoming",TODAY()-G46))</f>
        <v/>
      </c>
      <c r="I46" s="8">
        <f>IF(F46="","",IF(F46="Unknown","Confirm where it stands",IF(AND(OR(J46=TRUE,J46="Yes"),IFERROR(VALUE(MID(F46,FIND("(",F46)+1,FIND(")",F46,FIND("(",F46))-FIND("(",F46)-1))&gt;=2,FALSE)),"Expedited path: send to final approval",IFERROR(CHOOSE(VALUE(MID(F46,FIND("(",F46)+1,FIND(")",F46,FIND("(",F46))-FIND("(",F46)-1)),"Send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46" s="28" t="n"/>
      <c r="K46" s="34" t="n"/>
      <c r="L46" s="35">
        <f>IF(AND(OR(J46=TRUE,J46="Yes"),ISNUMBER(K46)),K46+30,"")</f>
        <v/>
      </c>
      <c r="M46" s="28" t="n"/>
      <c r="N46" s="26" t="n"/>
      <c r="O46" s="26" t="n"/>
      <c r="P46" s="30" t="n"/>
    </row>
    <row r="47">
      <c r="A47" s="26" t="n"/>
      <c r="B47" s="26" t="n"/>
      <c r="C47" s="26" t="n"/>
      <c r="D47" s="26" t="n"/>
      <c r="E47" s="34" t="n"/>
      <c r="F47" s="26" t="n"/>
      <c r="G47" s="34" t="n"/>
      <c r="H47" s="62">
        <f>IF(G47="","",IF(G47&gt;TODAY(),"Upcoming",TODAY()-G47))</f>
        <v/>
      </c>
      <c r="I47" s="8">
        <f>IF(F47="","",IF(F47="Unknown","Confirm where it stands",IF(AND(OR(J47=TRUE,J47="Yes"),IFERROR(VALUE(MID(F47,FIND("(",F47)+1,FIND(")",F47,FIND("(",F47))-FIND("(",F47)-1))&gt;=2,FALSE)),"Expedited path: send to final approval",IFERROR(CHOOSE(VALUE(MID(F47,FIND("(",F47)+1,FIND(")",F47,FIND("(",F47))-FIND("(",F47)-1)),"Send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47" s="28" t="n"/>
      <c r="K47" s="34" t="n"/>
      <c r="L47" s="35">
        <f>IF(AND(OR(J47=TRUE,J47="Yes"),ISNUMBER(K47)),K47+30,"")</f>
        <v/>
      </c>
      <c r="M47" s="28" t="n"/>
      <c r="N47" s="26" t="n"/>
      <c r="O47" s="26" t="n"/>
      <c r="P47" s="30" t="n"/>
    </row>
    <row r="48">
      <c r="A48" s="26" t="n"/>
      <c r="B48" s="26" t="n"/>
      <c r="C48" s="26" t="n"/>
      <c r="D48" s="26" t="n"/>
      <c r="E48" s="34" t="n"/>
      <c r="F48" s="26" t="n"/>
      <c r="G48" s="34" t="n"/>
      <c r="H48" s="62">
        <f>IF(G48="","",IF(G48&gt;TODAY(),"Upcoming",TODAY()-G48))</f>
        <v/>
      </c>
      <c r="I48" s="8">
        <f>IF(F48="","",IF(F48="Unknown","Confirm where it stands",IF(AND(OR(J48=TRUE,J48="Yes"),IFERROR(VALUE(MID(F48,FIND("(",F48)+1,FIND(")",F48,FIND("(",F48))-FIND("(",F48)-1))&gt;=2,FALSE)),"Expedited path: send to final approval",IFERROR(CHOOSE(VALUE(MID(F48,FIND("(",F48)+1,FIND(")",F48,FIND("(",F48))-FIND("(",F48)-1)),"Send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48" s="28" t="n"/>
      <c r="K48" s="34" t="n"/>
      <c r="L48" s="35">
        <f>IF(AND(OR(J48=TRUE,J48="Yes"),ISNUMBER(K48)),K48+30,"")</f>
        <v/>
      </c>
      <c r="M48" s="28" t="n"/>
      <c r="N48" s="26" t="n"/>
      <c r="O48" s="26" t="n"/>
      <c r="P48" s="30" t="n"/>
    </row>
    <row r="49">
      <c r="A49" s="26" t="n"/>
      <c r="B49" s="26" t="n"/>
      <c r="C49" s="26" t="n"/>
      <c r="D49" s="26" t="n"/>
      <c r="E49" s="34" t="n"/>
      <c r="F49" s="26" t="n"/>
      <c r="G49" s="34" t="n"/>
      <c r="H49" s="62">
        <f>IF(G49="","",IF(G49&gt;TODAY(),"Upcoming",TODAY()-G49))</f>
        <v/>
      </c>
      <c r="I49" s="8">
        <f>IF(F49="","",IF(F49="Unknown","Confirm where it stands",IF(AND(OR(J49=TRUE,J49="Yes"),IFERROR(VALUE(MID(F49,FIND("(",F49)+1,FIND(")",F49,FIND("(",F49))-FIND("(",F49)-1))&gt;=2,FALSE)),"Expedited path: send to final approval",IFERROR(CHOOSE(VALUE(MID(F49,FIND("(",F49)+1,FIND(")",F49,FIND("(",F49))-FIND("(",F49)-1)),"Send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49" s="28" t="n"/>
      <c r="K49" s="34" t="n"/>
      <c r="L49" s="35">
        <f>IF(AND(OR(J49=TRUE,J49="Yes"),ISNUMBER(K49)),K49+30,"")</f>
        <v/>
      </c>
      <c r="M49" s="28" t="n"/>
      <c r="N49" s="26" t="n"/>
      <c r="O49" s="26" t="n"/>
      <c r="P49" s="30" t="n"/>
    </row>
    <row r="50">
      <c r="A50" s="26" t="n"/>
      <c r="B50" s="26" t="n"/>
      <c r="C50" s="26" t="n"/>
      <c r="D50" s="26" t="n"/>
      <c r="E50" s="34" t="n"/>
      <c r="F50" s="26" t="n"/>
      <c r="G50" s="34" t="n"/>
      <c r="H50" s="62">
        <f>IF(G50="","",IF(G50&gt;TODAY(),"Upcoming",TODAY()-G50))</f>
        <v/>
      </c>
      <c r="I50" s="8">
        <f>IF(F50="","",IF(F50="Unknown","Confirm where it stands",IF(AND(OR(J50=TRUE,J50="Yes"),IFERROR(VALUE(MID(F50,FIND("(",F50)+1,FIND(")",F50,FIND("(",F50))-FIND("(",F50)-1))&gt;=2,FALSE)),"Expedited path: send to final approval",IFERROR(CHOOSE(VALUE(MID(F50,FIND("(",F50)+1,FIND(")",F50,FIND("(",F50))-FIND("(",F50)-1)),"Send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50" s="28" t="n"/>
      <c r="K50" s="34" t="n"/>
      <c r="L50" s="35">
        <f>IF(AND(OR(J50=TRUE,J50="Yes"),ISNUMBER(K50)),K50+30,"")</f>
        <v/>
      </c>
      <c r="M50" s="28" t="n"/>
      <c r="N50" s="26" t="n"/>
      <c r="O50" s="26" t="n"/>
      <c r="P50" s="30" t="n"/>
    </row>
    <row r="51">
      <c r="A51" s="26" t="n"/>
      <c r="B51" s="26" t="n"/>
      <c r="C51" s="26" t="n"/>
      <c r="D51" s="26" t="n"/>
      <c r="E51" s="34" t="n"/>
      <c r="F51" s="26" t="n"/>
      <c r="G51" s="34" t="n"/>
      <c r="H51" s="62">
        <f>IF(G51="","",IF(G51&gt;TODAY(),"Upcoming",TODAY()-G51))</f>
        <v/>
      </c>
      <c r="I51" s="8">
        <f>IF(F51="","",IF(F51="Unknown","Confirm where it stands",IF(AND(OR(J51=TRUE,J51="Yes"),IFERROR(VALUE(MID(F51,FIND("(",F51)+1,FIND(")",F51,FIND("(",F51))-FIND("(",F51)-1))&gt;=2,FALSE)),"Expedited path: send to final approval",IFERROR(CHOOSE(VALUE(MID(F51,FIND("(",F51)+1,FIND(")",F51,FIND("(",F51))-FIND("(",F51)-1)),"Send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51" s="28" t="n"/>
      <c r="K51" s="34" t="n"/>
      <c r="L51" s="35">
        <f>IF(AND(OR(J51=TRUE,J51="Yes"),ISNUMBER(K51)),K51+30,"")</f>
        <v/>
      </c>
      <c r="M51" s="28" t="n"/>
      <c r="N51" s="26" t="n"/>
      <c r="O51" s="26" t="n"/>
      <c r="P51" s="30" t="n"/>
    </row>
    <row r="52">
      <c r="A52" s="26" t="n"/>
      <c r="B52" s="26" t="n"/>
      <c r="C52" s="26" t="n"/>
      <c r="D52" s="26" t="n"/>
      <c r="E52" s="34" t="n"/>
      <c r="F52" s="26" t="n"/>
      <c r="G52" s="34" t="n"/>
      <c r="H52" s="62">
        <f>IF(G52="","",IF(G52&gt;TODAY(),"Upcoming",TODAY()-G52))</f>
        <v/>
      </c>
      <c r="I52" s="8">
        <f>IF(F52="","",IF(F52="Unknown","Confirm where it stands",IF(AND(OR(J52=TRUE,J52="Yes"),IFERROR(VALUE(MID(F52,FIND("(",F52)+1,FIND(")",F52,FIND("(",F52))-FIND("(",F52)-1))&gt;=2,FALSE)),"Expedited path: send to final approval",IFERROR(CHOOSE(VALUE(MID(F52,FIND("(",F52)+1,FIND(")",F52,FIND("(",F52))-FIND("(",F52)-1)),"Send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52" s="28" t="n"/>
      <c r="K52" s="34" t="n"/>
      <c r="L52" s="35">
        <f>IF(AND(OR(J52=TRUE,J52="Yes"),ISNUMBER(K52)),K52+30,"")</f>
        <v/>
      </c>
      <c r="M52" s="28" t="n"/>
      <c r="N52" s="26" t="n"/>
      <c r="O52" s="26" t="n"/>
      <c r="P52" s="30" t="n"/>
    </row>
    <row r="53">
      <c r="A53" s="26" t="n"/>
      <c r="B53" s="26" t="n"/>
      <c r="C53" s="26" t="n"/>
      <c r="D53" s="26" t="n"/>
      <c r="E53" s="34" t="n"/>
      <c r="F53" s="26" t="n"/>
      <c r="G53" s="34" t="n"/>
      <c r="H53" s="62">
        <f>IF(G53="","",IF(G53&gt;TODAY(),"Upcoming",TODAY()-G53))</f>
        <v/>
      </c>
      <c r="I53" s="8">
        <f>IF(F53="","",IF(F53="Unknown","Confirm where it stands",IF(AND(OR(J53=TRUE,J53="Yes"),IFERROR(VALUE(MID(F53,FIND("(",F53)+1,FIND(")",F53,FIND("(",F53))-FIND("(",F53)-1))&gt;=2,FALSE)),"Expedited path: send to final approval",IFERROR(CHOOSE(VALUE(MID(F53,FIND("(",F53)+1,FIND(")",F53,FIND("(",F53))-FIND("(",F53)-1)),"Send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53" s="28" t="n"/>
      <c r="K53" s="34" t="n"/>
      <c r="L53" s="35">
        <f>IF(AND(OR(J53=TRUE,J53="Yes"),ISNUMBER(K53)),K53+30,"")</f>
        <v/>
      </c>
      <c r="M53" s="28" t="n"/>
      <c r="N53" s="26" t="n"/>
      <c r="O53" s="26" t="n"/>
      <c r="P53" s="30" t="n"/>
    </row>
    <row r="54">
      <c r="A54" s="26" t="n"/>
      <c r="B54" s="26" t="n"/>
      <c r="C54" s="26" t="n"/>
      <c r="D54" s="26" t="n"/>
      <c r="E54" s="34" t="n"/>
      <c r="F54" s="26" t="n"/>
      <c r="G54" s="34" t="n"/>
      <c r="H54" s="62">
        <f>IF(G54="","",IF(G54&gt;TODAY(),"Upcoming",TODAY()-G54))</f>
        <v/>
      </c>
      <c r="I54" s="8">
        <f>IF(F54="","",IF(F54="Unknown","Confirm where it stands",IF(AND(OR(J54=TRUE,J54="Yes"),IFERROR(VALUE(MID(F54,FIND("(",F54)+1,FIND(")",F54,FIND("(",F54))-FIND("(",F54)-1))&gt;=2,FALSE)),"Expedited path: send to final approval",IFERROR(CHOOSE(VALUE(MID(F54,FIND("(",F54)+1,FIND(")",F54,FIND("(",F54))-FIND("(",F54)-1)),"Send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54" s="28" t="n"/>
      <c r="K54" s="34" t="n"/>
      <c r="L54" s="35">
        <f>IF(AND(OR(J54=TRUE,J54="Yes"),ISNUMBER(K54)),K54+30,"")</f>
        <v/>
      </c>
      <c r="M54" s="28" t="n"/>
      <c r="N54" s="26" t="n"/>
      <c r="O54" s="26" t="n"/>
      <c r="P54" s="30" t="n"/>
    </row>
    <row r="55">
      <c r="A55" s="26" t="n"/>
      <c r="B55" s="26" t="n"/>
      <c r="C55" s="26" t="n"/>
      <c r="D55" s="26" t="n"/>
      <c r="E55" s="34" t="n"/>
      <c r="F55" s="26" t="n"/>
      <c r="G55" s="34" t="n"/>
      <c r="H55" s="62">
        <f>IF(G55="","",IF(G55&gt;TODAY(),"Upcoming",TODAY()-G55))</f>
        <v/>
      </c>
      <c r="I55" s="8">
        <f>IF(F55="","",IF(F55="Unknown","Confirm where it stands",IF(AND(OR(J55=TRUE,J55="Yes"),IFERROR(VALUE(MID(F55,FIND("(",F55)+1,FIND(")",F55,FIND("(",F55))-FIND("(",F55)-1))&gt;=2,FALSE)),"Expedited path: send to final approval",IFERROR(CHOOSE(VALUE(MID(F55,FIND("(",F55)+1,FIND(")",F55,FIND("(",F55))-FIND("(",F55)-1)),"Send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55" s="28" t="n"/>
      <c r="K55" s="34" t="n"/>
      <c r="L55" s="35">
        <f>IF(AND(OR(J55=TRUE,J55="Yes"),ISNUMBER(K55)),K55+30,"")</f>
        <v/>
      </c>
      <c r="M55" s="28" t="n"/>
      <c r="N55" s="26" t="n"/>
      <c r="O55" s="26" t="n"/>
      <c r="P55" s="30" t="n"/>
    </row>
    <row r="56">
      <c r="A56" s="26" t="n"/>
      <c r="B56" s="26" t="n"/>
      <c r="C56" s="26" t="n"/>
      <c r="D56" s="26" t="n"/>
      <c r="E56" s="34" t="n"/>
      <c r="F56" s="26" t="n"/>
      <c r="G56" s="34" t="n"/>
      <c r="H56" s="62">
        <f>IF(G56="","",IF(G56&gt;TODAY(),"Upcoming",TODAY()-G56))</f>
        <v/>
      </c>
      <c r="I56" s="8">
        <f>IF(F56="","",IF(F56="Unknown","Confirm where it stands",IF(AND(OR(J56=TRUE,J56="Yes"),IFERROR(VALUE(MID(F56,FIND("(",F56)+1,FIND(")",F56,FIND("(",F56))-FIND("(",F56)-1))&gt;=2,FALSE)),"Expedited path: send to final approval",IFERROR(CHOOSE(VALUE(MID(F56,FIND("(",F56)+1,FIND(")",F56,FIND("(",F56))-FIND("(",F56)-1)),"Send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56" s="28" t="n"/>
      <c r="K56" s="34" t="n"/>
      <c r="L56" s="35">
        <f>IF(AND(OR(J56=TRUE,J56="Yes"),ISNUMBER(K56)),K56+30,"")</f>
        <v/>
      </c>
      <c r="M56" s="28" t="n"/>
      <c r="N56" s="26" t="n"/>
      <c r="O56" s="26" t="n"/>
      <c r="P56" s="30" t="n"/>
    </row>
    <row r="57">
      <c r="A57" s="26" t="n"/>
      <c r="B57" s="26" t="n"/>
      <c r="C57" s="26" t="n"/>
      <c r="D57" s="26" t="n"/>
      <c r="E57" s="34" t="n"/>
      <c r="F57" s="26" t="n"/>
      <c r="G57" s="34" t="n"/>
      <c r="H57" s="62">
        <f>IF(G57="","",IF(G57&gt;TODAY(),"Upcoming",TODAY()-G57))</f>
        <v/>
      </c>
      <c r="I57" s="8">
        <f>IF(F57="","",IF(F57="Unknown","Confirm where it stands",IF(AND(OR(J57=TRUE,J57="Yes"),IFERROR(VALUE(MID(F57,FIND("(",F57)+1,FIND(")",F57,FIND("(",F57))-FIND("(",F57)-1))&gt;=2,FALSE)),"Expedited path: send to final approval",IFERROR(CHOOSE(VALUE(MID(F57,FIND("(",F57)+1,FIND(")",F57,FIND("(",F57))-FIND("(",F57)-1)),"Send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57" s="28" t="n"/>
      <c r="K57" s="34" t="n"/>
      <c r="L57" s="35">
        <f>IF(AND(OR(J57=TRUE,J57="Yes"),ISNUMBER(K57)),K57+30,"")</f>
        <v/>
      </c>
      <c r="M57" s="28" t="n"/>
      <c r="N57" s="26" t="n"/>
      <c r="O57" s="26" t="n"/>
      <c r="P57" s="30" t="n"/>
    </row>
    <row r="58">
      <c r="A58" s="26" t="n"/>
      <c r="B58" s="26" t="n"/>
      <c r="C58" s="26" t="n"/>
      <c r="D58" s="26" t="n"/>
      <c r="E58" s="34" t="n"/>
      <c r="F58" s="26" t="n"/>
      <c r="G58" s="34" t="n"/>
      <c r="H58" s="62">
        <f>IF(G58="","",IF(G58&gt;TODAY(),"Upcoming",TODAY()-G58))</f>
        <v/>
      </c>
      <c r="I58" s="8">
        <f>IF(F58="","",IF(F58="Unknown","Confirm where it stands",IF(AND(OR(J58=TRUE,J58="Yes"),IFERROR(VALUE(MID(F58,FIND("(",F58)+1,FIND(")",F58,FIND("(",F58))-FIND("(",F58)-1))&gt;=2,FALSE)),"Expedited path: send to final approval",IFERROR(CHOOSE(VALUE(MID(F58,FIND("(",F58)+1,FIND(")",F58,FIND("(",F58))-FIND("(",F58)-1)),"Send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58" s="28" t="n"/>
      <c r="K58" s="34" t="n"/>
      <c r="L58" s="35">
        <f>IF(AND(OR(J58=TRUE,J58="Yes"),ISNUMBER(K58)),K58+30,"")</f>
        <v/>
      </c>
      <c r="M58" s="28" t="n"/>
      <c r="N58" s="26" t="n"/>
      <c r="O58" s="26" t="n"/>
      <c r="P58" s="30" t="n"/>
    </row>
    <row r="59">
      <c r="A59" s="26" t="n"/>
      <c r="B59" s="26" t="n"/>
      <c r="C59" s="26" t="n"/>
      <c r="D59" s="26" t="n"/>
      <c r="E59" s="34" t="n"/>
      <c r="F59" s="26" t="n"/>
      <c r="G59" s="34" t="n"/>
      <c r="H59" s="62">
        <f>IF(G59="","",IF(G59&gt;TODAY(),"Upcoming",TODAY()-G59))</f>
        <v/>
      </c>
      <c r="I59" s="8">
        <f>IF(F59="","",IF(F59="Unknown","Confirm where it stands",IF(AND(OR(J59=TRUE,J59="Yes"),IFERROR(VALUE(MID(F59,FIND("(",F59)+1,FIND(")",F59,FIND("(",F59))-FIND("(",F59)-1))&gt;=2,FALSE)),"Expedited path: send to final approval",IFERROR(CHOOSE(VALUE(MID(F59,FIND("(",F59)+1,FIND(")",F59,FIND("(",F59))-FIND("(",F59)-1)),"Send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59" s="28" t="n"/>
      <c r="K59" s="34" t="n"/>
      <c r="L59" s="35">
        <f>IF(AND(OR(J59=TRUE,J59="Yes"),ISNUMBER(K59)),K59+30,"")</f>
        <v/>
      </c>
      <c r="M59" s="28" t="n"/>
      <c r="N59" s="26" t="n"/>
      <c r="O59" s="26" t="n"/>
      <c r="P59" s="30" t="n"/>
    </row>
    <row r="60">
      <c r="A60" s="26" t="n"/>
      <c r="B60" s="26" t="n"/>
      <c r="C60" s="26" t="n"/>
      <c r="D60" s="26" t="n"/>
      <c r="E60" s="34" t="n"/>
      <c r="F60" s="26" t="n"/>
      <c r="G60" s="34" t="n"/>
      <c r="H60" s="62">
        <f>IF(G60="","",IF(G60&gt;TODAY(),"Upcoming",TODAY()-G60))</f>
        <v/>
      </c>
      <c r="I60" s="8">
        <f>IF(F60="","",IF(F60="Unknown","Confirm where it stands",IF(AND(OR(J60=TRUE,J60="Yes"),IFERROR(VALUE(MID(F60,FIND("(",F60)+1,FIND(")",F60,FIND("(",F60))-FIND("(",F60)-1))&gt;=2,FALSE)),"Expedited path: send to final approval",IFERROR(CHOOSE(VALUE(MID(F60,FIND("(",F60)+1,FIND(")",F60,FIND("(",F60))-FIND("(",F60)-1)),"Send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60" s="28" t="n"/>
      <c r="K60" s="34" t="n"/>
      <c r="L60" s="35">
        <f>IF(AND(OR(J60=TRUE,J60="Yes"),ISNUMBER(K60)),K60+30,"")</f>
        <v/>
      </c>
      <c r="M60" s="28" t="n"/>
      <c r="N60" s="26" t="n"/>
      <c r="O60" s="26" t="n"/>
      <c r="P60" s="30" t="n"/>
    </row>
    <row r="61">
      <c r="A61" s="26" t="n"/>
      <c r="B61" s="26" t="n"/>
      <c r="C61" s="26" t="n"/>
      <c r="D61" s="26" t="n"/>
      <c r="E61" s="34" t="n"/>
      <c r="F61" s="26" t="n"/>
      <c r="G61" s="34" t="n"/>
      <c r="H61" s="62">
        <f>IF(G61="","",IF(G61&gt;TODAY(),"Upcoming",TODAY()-G61))</f>
        <v/>
      </c>
      <c r="I61" s="8">
        <f>IF(F61="","",IF(F61="Unknown","Confirm where it stands",IF(AND(OR(J61=TRUE,J61="Yes"),IFERROR(VALUE(MID(F61,FIND("(",F61)+1,FIND(")",F61,FIND("(",F61))-FIND("(",F61)-1))&gt;=2,FALSE)),"Expedited path: send to final approval",IFERROR(CHOOSE(VALUE(MID(F61,FIND("(",F61)+1,FIND(")",F61,FIND("(",F61))-FIND("(",F61)-1)),"Send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61" s="28" t="n"/>
      <c r="K61" s="34" t="n"/>
      <c r="L61" s="35">
        <f>IF(AND(OR(J61=TRUE,J61="Yes"),ISNUMBER(K61)),K61+30,"")</f>
        <v/>
      </c>
      <c r="M61" s="28" t="n"/>
      <c r="N61" s="26" t="n"/>
      <c r="O61" s="26" t="n"/>
      <c r="P61" s="30" t="n"/>
    </row>
    <row r="62">
      <c r="A62" s="26" t="n"/>
      <c r="B62" s="26" t="n"/>
      <c r="C62" s="26" t="n"/>
      <c r="D62" s="26" t="n"/>
      <c r="E62" s="34" t="n"/>
      <c r="F62" s="26" t="n"/>
      <c r="G62" s="34" t="n"/>
      <c r="H62" s="62">
        <f>IF(G62="","",IF(G62&gt;TODAY(),"Upcoming",TODAY()-G62))</f>
        <v/>
      </c>
      <c r="I62" s="8">
        <f>IF(F62="","",IF(F62="Unknown","Confirm where it stands",IF(AND(OR(J62=TRUE,J62="Yes"),IFERROR(VALUE(MID(F62,FIND("(",F62)+1,FIND(")",F62,FIND("(",F62))-FIND("(",F62)-1))&gt;=2,FALSE)),"Expedited path: send to final approval",IFERROR(CHOOSE(VALUE(MID(F62,FIND("(",F62)+1,FIND(")",F62,FIND("(",F62))-FIND("(",F62)-1)),"Send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62" s="28" t="n"/>
      <c r="K62" s="34" t="n"/>
      <c r="L62" s="35">
        <f>IF(AND(OR(J62=TRUE,J62="Yes"),ISNUMBER(K62)),K62+30,"")</f>
        <v/>
      </c>
      <c r="M62" s="28" t="n"/>
      <c r="N62" s="26" t="n"/>
      <c r="O62" s="26" t="n"/>
      <c r="P62" s="30" t="n"/>
    </row>
    <row r="63">
      <c r="A63" s="26" t="n"/>
      <c r="B63" s="26" t="n"/>
      <c r="C63" s="26" t="n"/>
      <c r="D63" s="26" t="n"/>
      <c r="E63" s="34" t="n"/>
      <c r="F63" s="26" t="n"/>
      <c r="G63" s="34" t="n"/>
      <c r="H63" s="62">
        <f>IF(G63="","",IF(G63&gt;TODAY(),"Upcoming",TODAY()-G63))</f>
        <v/>
      </c>
      <c r="I63" s="8">
        <f>IF(F63="","",IF(F63="Unknown","Confirm where it stands",IF(AND(OR(J63=TRUE,J63="Yes"),IFERROR(VALUE(MID(F63,FIND("(",F63)+1,FIND(")",F63,FIND("(",F63))-FIND("(",F63)-1))&gt;=2,FALSE)),"Expedited path: send to final approval",IFERROR(CHOOSE(VALUE(MID(F63,FIND("(",F63)+1,FIND(")",F63,FIND("(",F63))-FIND("(",F63)-1)),"Send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63" s="28" t="n"/>
      <c r="K63" s="34" t="n"/>
      <c r="L63" s="35">
        <f>IF(AND(OR(J63=TRUE,J63="Yes"),ISNUMBER(K63)),K63+30,"")</f>
        <v/>
      </c>
      <c r="M63" s="28" t="n"/>
      <c r="N63" s="26" t="n"/>
      <c r="O63" s="26" t="n"/>
      <c r="P63" s="30" t="n"/>
    </row>
    <row r="64">
      <c r="A64" s="26" t="n"/>
      <c r="B64" s="26" t="n"/>
      <c r="C64" s="26" t="n"/>
      <c r="D64" s="26" t="n"/>
      <c r="E64" s="34" t="n"/>
      <c r="F64" s="26" t="n"/>
      <c r="G64" s="34" t="n"/>
      <c r="H64" s="62">
        <f>IF(G64="","",IF(G64&gt;TODAY(),"Upcoming",TODAY()-G64))</f>
        <v/>
      </c>
      <c r="I64" s="8">
        <f>IF(F64="","",IF(F64="Unknown","Confirm where it stands",IF(AND(OR(J64=TRUE,J64="Yes"),IFERROR(VALUE(MID(F64,FIND("(",F64)+1,FIND(")",F64,FIND("(",F64))-FIND("(",F64)-1))&gt;=2,FALSE)),"Expedited path: send to final approval",IFERROR(CHOOSE(VALUE(MID(F64,FIND("(",F64)+1,FIND(")",F64,FIND("(",F64))-FIND("(",F64)-1)),"Send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64" s="28" t="n"/>
      <c r="K64" s="34" t="n"/>
      <c r="L64" s="35">
        <f>IF(AND(OR(J64=TRUE,J64="Yes"),ISNUMBER(K64)),K64+30,"")</f>
        <v/>
      </c>
      <c r="M64" s="28" t="n"/>
      <c r="N64" s="26" t="n"/>
      <c r="O64" s="26" t="n"/>
      <c r="P64" s="30" t="n"/>
    </row>
    <row r="65">
      <c r="A65" s="26" t="n"/>
      <c r="B65" s="26" t="n"/>
      <c r="C65" s="26" t="n"/>
      <c r="D65" s="26" t="n"/>
      <c r="E65" s="34" t="n"/>
      <c r="F65" s="26" t="n"/>
      <c r="G65" s="34" t="n"/>
      <c r="H65" s="62">
        <f>IF(G65="","",IF(G65&gt;TODAY(),"Upcoming",TODAY()-G65))</f>
        <v/>
      </c>
      <c r="I65" s="8">
        <f>IF(F65="","",IF(F65="Unknown","Confirm where it stands",IF(AND(OR(J65=TRUE,J65="Yes"),IFERROR(VALUE(MID(F65,FIND("(",F65)+1,FIND(")",F65,FIND("(",F65))-FIND("(",F65)-1))&gt;=2,FALSE)),"Expedited path: send to final approval",IFERROR(CHOOSE(VALUE(MID(F65,FIND("(",F65)+1,FIND(")",F65,FIND("(",F65))-FIND("(",F65)-1)),"Send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65" s="28" t="n"/>
      <c r="K65" s="34" t="n"/>
      <c r="L65" s="35">
        <f>IF(AND(OR(J65=TRUE,J65="Yes"),ISNUMBER(K65)),K65+30,"")</f>
        <v/>
      </c>
      <c r="M65" s="28" t="n"/>
      <c r="N65" s="26" t="n"/>
      <c r="O65" s="26" t="n"/>
      <c r="P65" s="30" t="n"/>
    </row>
    <row r="66">
      <c r="A66" s="26" t="n"/>
      <c r="B66" s="26" t="n"/>
      <c r="C66" s="26" t="n"/>
      <c r="D66" s="26" t="n"/>
      <c r="E66" s="34" t="n"/>
      <c r="F66" s="26" t="n"/>
      <c r="G66" s="34" t="n"/>
      <c r="H66" s="62">
        <f>IF(G66="","",IF(G66&gt;TODAY(),"Upcoming",TODAY()-G66))</f>
        <v/>
      </c>
      <c r="I66" s="8">
        <f>IF(F66="","",IF(F66="Unknown","Confirm where it stands",IF(AND(OR(J66=TRUE,J66="Yes"),IFERROR(VALUE(MID(F66,FIND("(",F66)+1,FIND(")",F66,FIND("(",F66))-FIND("(",F66)-1))&gt;=2,FALSE)),"Expedited path: send to final approval",IFERROR(CHOOSE(VALUE(MID(F66,FIND("(",F66)+1,FIND(")",F66,FIND("(",F66))-FIND("(",F66)-1)),"Send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66" s="28" t="n"/>
      <c r="K66" s="34" t="n"/>
      <c r="L66" s="35">
        <f>IF(AND(OR(J66=TRUE,J66="Yes"),ISNUMBER(K66)),K66+30,"")</f>
        <v/>
      </c>
      <c r="M66" s="28" t="n"/>
      <c r="N66" s="26" t="n"/>
      <c r="O66" s="26" t="n"/>
      <c r="P66" s="30" t="n"/>
    </row>
    <row r="67">
      <c r="A67" s="26" t="n"/>
      <c r="B67" s="26" t="n"/>
      <c r="C67" s="26" t="n"/>
      <c r="D67" s="26" t="n"/>
      <c r="E67" s="34" t="n"/>
      <c r="F67" s="26" t="n"/>
      <c r="G67" s="34" t="n"/>
      <c r="H67" s="62">
        <f>IF(G67="","",IF(G67&gt;TODAY(),"Upcoming",TODAY()-G67))</f>
        <v/>
      </c>
      <c r="I67" s="8">
        <f>IF(F67="","",IF(F67="Unknown","Confirm where it stands",IF(AND(OR(J67=TRUE,J67="Yes"),IFERROR(VALUE(MID(F67,FIND("(",F67)+1,FIND(")",F67,FIND("(",F67))-FIND("(",F67)-1))&gt;=2,FALSE)),"Expedited path: send to final approval",IFERROR(CHOOSE(VALUE(MID(F67,FIND("(",F67)+1,FIND(")",F67,FIND("(",F67))-FIND("(",F67)-1)),"Send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67" s="28" t="n"/>
      <c r="K67" s="34" t="n"/>
      <c r="L67" s="35">
        <f>IF(AND(OR(J67=TRUE,J67="Yes"),ISNUMBER(K67)),K67+30,"")</f>
        <v/>
      </c>
      <c r="M67" s="28" t="n"/>
      <c r="N67" s="26" t="n"/>
      <c r="O67" s="26" t="n"/>
      <c r="P67" s="30" t="n"/>
    </row>
    <row r="68">
      <c r="A68" s="26" t="n"/>
      <c r="B68" s="26" t="n"/>
      <c r="C68" s="26" t="n"/>
      <c r="D68" s="26" t="n"/>
      <c r="E68" s="34" t="n"/>
      <c r="F68" s="26" t="n"/>
      <c r="G68" s="34" t="n"/>
      <c r="H68" s="62">
        <f>IF(G68="","",IF(G68&gt;TODAY(),"Upcoming",TODAY()-G68))</f>
        <v/>
      </c>
      <c r="I68" s="8">
        <f>IF(F68="","",IF(F68="Unknown","Confirm where it stands",IF(AND(OR(J68=TRUE,J68="Yes"),IFERROR(VALUE(MID(F68,FIND("(",F68)+1,FIND(")",F68,FIND("(",F68))-FIND("(",F68)-1))&gt;=2,FALSE)),"Expedited path: send to final approval",IFERROR(CHOOSE(VALUE(MID(F68,FIND("(",F68)+1,FIND(")",F68,FIND("(",F68))-FIND("(",F68)-1)),"Send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68" s="28" t="n"/>
      <c r="K68" s="34" t="n"/>
      <c r="L68" s="35">
        <f>IF(AND(OR(J68=TRUE,J68="Yes"),ISNUMBER(K68)),K68+30,"")</f>
        <v/>
      </c>
      <c r="M68" s="28" t="n"/>
      <c r="N68" s="26" t="n"/>
      <c r="O68" s="26" t="n"/>
      <c r="P68" s="30" t="n"/>
    </row>
    <row r="69">
      <c r="A69" s="26" t="n"/>
      <c r="B69" s="26" t="n"/>
      <c r="C69" s="26" t="n"/>
      <c r="D69" s="26" t="n"/>
      <c r="E69" s="34" t="n"/>
      <c r="F69" s="26" t="n"/>
      <c r="G69" s="34" t="n"/>
      <c r="H69" s="62">
        <f>IF(G69="","",IF(G69&gt;TODAY(),"Upcoming",TODAY()-G69))</f>
        <v/>
      </c>
      <c r="I69" s="8">
        <f>IF(F69="","",IF(F69="Unknown","Confirm where it stands",IF(AND(OR(J69=TRUE,J69="Yes"),IFERROR(VALUE(MID(F69,FIND("(",F69)+1,FIND(")",F69,FIND("(",F69))-FIND("(",F69)-1))&gt;=2,FALSE)),"Expedited path: send to final approval",IFERROR(CHOOSE(VALUE(MID(F69,FIND("(",F69)+1,FIND(")",F69,FIND("(",F69))-FIND("(",F69)-1)),"Send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69" s="28" t="n"/>
      <c r="K69" s="34" t="n"/>
      <c r="L69" s="35">
        <f>IF(AND(OR(J69=TRUE,J69="Yes"),ISNUMBER(K69)),K69+30,"")</f>
        <v/>
      </c>
      <c r="M69" s="28" t="n"/>
      <c r="N69" s="26" t="n"/>
      <c r="O69" s="26" t="n"/>
      <c r="P69" s="30" t="n"/>
    </row>
    <row r="70">
      <c r="A70" s="26" t="n"/>
      <c r="B70" s="26" t="n"/>
      <c r="C70" s="26" t="n"/>
      <c r="D70" s="26" t="n"/>
      <c r="E70" s="34" t="n"/>
      <c r="F70" s="26" t="n"/>
      <c r="G70" s="34" t="n"/>
      <c r="H70" s="62">
        <f>IF(G70="","",IF(G70&gt;TODAY(),"Upcoming",TODAY()-G70))</f>
        <v/>
      </c>
      <c r="I70" s="8">
        <f>IF(F70="","",IF(F70="Unknown","Confirm where it stands",IF(AND(OR(J70=TRUE,J70="Yes"),IFERROR(VALUE(MID(F70,FIND("(",F70)+1,FIND(")",F70,FIND("(",F70))-FIND("(",F70)-1))&gt;=2,FALSE)),"Expedited path: send to final approval",IFERROR(CHOOSE(VALUE(MID(F70,FIND("(",F70)+1,FIND(")",F70,FIND("(",F70))-FIND("(",F70)-1)),"Send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70" s="28" t="n"/>
      <c r="K70" s="34" t="n"/>
      <c r="L70" s="35">
        <f>IF(AND(OR(J70=TRUE,J70="Yes"),ISNUMBER(K70)),K70+30,"")</f>
        <v/>
      </c>
      <c r="M70" s="28" t="n"/>
      <c r="N70" s="26" t="n"/>
      <c r="O70" s="26" t="n"/>
      <c r="P70" s="30" t="n"/>
    </row>
    <row r="71">
      <c r="A71" s="26" t="n"/>
      <c r="B71" s="26" t="n"/>
      <c r="C71" s="26" t="n"/>
      <c r="D71" s="26" t="n"/>
      <c r="E71" s="34" t="n"/>
      <c r="F71" s="26" t="n"/>
      <c r="G71" s="34" t="n"/>
      <c r="H71" s="62">
        <f>IF(G71="","",IF(G71&gt;TODAY(),"Upcoming",TODAY()-G71))</f>
        <v/>
      </c>
      <c r="I71" s="8">
        <f>IF(F71="","",IF(F71="Unknown","Confirm where it stands",IF(AND(OR(J71=TRUE,J71="Yes"),IFERROR(VALUE(MID(F71,FIND("(",F71)+1,FIND(")",F71,FIND("(",F71))-FIND("(",F71)-1))&gt;=2,FALSE)),"Expedited path: send to final approval",IFERROR(CHOOSE(VALUE(MID(F71,FIND("(",F71)+1,FIND(")",F71,FIND("(",F71))-FIND("(",F71)-1)),"Send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71" s="28" t="n"/>
      <c r="K71" s="34" t="n"/>
      <c r="L71" s="35">
        <f>IF(AND(OR(J71=TRUE,J71="Yes"),ISNUMBER(K71)),K71+30,"")</f>
        <v/>
      </c>
      <c r="M71" s="28" t="n"/>
      <c r="N71" s="26" t="n"/>
      <c r="O71" s="26" t="n"/>
      <c r="P71" s="30" t="n"/>
    </row>
    <row r="72">
      <c r="A72" s="26" t="n"/>
      <c r="B72" s="26" t="n"/>
      <c r="C72" s="26" t="n"/>
      <c r="D72" s="26" t="n"/>
      <c r="E72" s="34" t="n"/>
      <c r="F72" s="26" t="n"/>
      <c r="G72" s="34" t="n"/>
      <c r="H72" s="62">
        <f>IF(G72="","",IF(G72&gt;TODAY(),"Upcoming",TODAY()-G72))</f>
        <v/>
      </c>
      <c r="I72" s="8">
        <f>IF(F72="","",IF(F72="Unknown","Confirm where it stands",IF(AND(OR(J72=TRUE,J72="Yes"),IFERROR(VALUE(MID(F72,FIND("(",F72)+1,FIND(")",F72,FIND("(",F72))-FIND("(",F72)-1))&gt;=2,FALSE)),"Expedited path: send to final approval",IFERROR(CHOOSE(VALUE(MID(F72,FIND("(",F72)+1,FIND(")",F72,FIND("(",F72))-FIND("(",F72)-1)),"Send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72" s="28" t="n"/>
      <c r="K72" s="34" t="n"/>
      <c r="L72" s="35">
        <f>IF(AND(OR(J72=TRUE,J72="Yes"),ISNUMBER(K72)),K72+30,"")</f>
        <v/>
      </c>
      <c r="M72" s="28" t="n"/>
      <c r="N72" s="26" t="n"/>
      <c r="O72" s="26" t="n"/>
      <c r="P72" s="30" t="n"/>
    </row>
    <row r="73">
      <c r="A73" s="26" t="n"/>
      <c r="B73" s="26" t="n"/>
      <c r="C73" s="26" t="n"/>
      <c r="D73" s="26" t="n"/>
      <c r="E73" s="34" t="n"/>
      <c r="F73" s="26" t="n"/>
      <c r="G73" s="34" t="n"/>
      <c r="H73" s="62">
        <f>IF(G73="","",IF(G73&gt;TODAY(),"Upcoming",TODAY()-G73))</f>
        <v/>
      </c>
      <c r="I73" s="8">
        <f>IF(F73="","",IF(F73="Unknown","Confirm where it stands",IF(AND(OR(J73=TRUE,J73="Yes"),IFERROR(VALUE(MID(F73,FIND("(",F73)+1,FIND(")",F73,FIND("(",F73))-FIND("(",F73)-1))&gt;=2,FALSE)),"Expedited path: send to final approval",IFERROR(CHOOSE(VALUE(MID(F73,FIND("(",F73)+1,FIND(")",F73,FIND("(",F73))-FIND("(",F73)-1)),"Send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73" s="28" t="n"/>
      <c r="K73" s="34" t="n"/>
      <c r="L73" s="35">
        <f>IF(AND(OR(J73=TRUE,J73="Yes"),ISNUMBER(K73)),K73+30,"")</f>
        <v/>
      </c>
      <c r="M73" s="28" t="n"/>
      <c r="N73" s="26" t="n"/>
      <c r="O73" s="26" t="n"/>
      <c r="P73" s="30" t="n"/>
    </row>
    <row r="74">
      <c r="A74" s="26" t="n"/>
      <c r="B74" s="26" t="n"/>
      <c r="C74" s="26" t="n"/>
      <c r="D74" s="26" t="n"/>
      <c r="E74" s="34" t="n"/>
      <c r="F74" s="26" t="n"/>
      <c r="G74" s="34" t="n"/>
      <c r="H74" s="62">
        <f>IF(G74="","",IF(G74&gt;TODAY(),"Upcoming",TODAY()-G74))</f>
        <v/>
      </c>
      <c r="I74" s="8">
        <f>IF(F74="","",IF(F74="Unknown","Confirm where it stands",IF(AND(OR(J74=TRUE,J74="Yes"),IFERROR(VALUE(MID(F74,FIND("(",F74)+1,FIND(")",F74,FIND("(",F74))-FIND("(",F74)-1))&gt;=2,FALSE)),"Expedited path: send to final approval",IFERROR(CHOOSE(VALUE(MID(F74,FIND("(",F74)+1,FIND(")",F74,FIND("(",F74))-FIND("(",F74)-1)),"Send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74" s="28" t="n"/>
      <c r="K74" s="34" t="n"/>
      <c r="L74" s="35">
        <f>IF(AND(OR(J74=TRUE,J74="Yes"),ISNUMBER(K74)),K74+30,"")</f>
        <v/>
      </c>
      <c r="M74" s="28" t="n"/>
      <c r="N74" s="26" t="n"/>
      <c r="O74" s="26" t="n"/>
      <c r="P74" s="30" t="n"/>
    </row>
    <row r="75">
      <c r="A75" s="26" t="n"/>
      <c r="B75" s="26" t="n"/>
      <c r="C75" s="26" t="n"/>
      <c r="D75" s="26" t="n"/>
      <c r="E75" s="34" t="n"/>
      <c r="F75" s="26" t="n"/>
      <c r="G75" s="34" t="n"/>
      <c r="H75" s="62">
        <f>IF(G75="","",IF(G75&gt;TODAY(),"Upcoming",TODAY()-G75))</f>
        <v/>
      </c>
      <c r="I75" s="8">
        <f>IF(F75="","",IF(F75="Unknown","Confirm where it stands",IF(AND(OR(J75=TRUE,J75="Yes"),IFERROR(VALUE(MID(F75,FIND("(",F75)+1,FIND(")",F75,FIND("(",F75))-FIND("(",F75)-1))&gt;=2,FALSE)),"Expedited path: send to final approval",IFERROR(CHOOSE(VALUE(MID(F75,FIND("(",F75)+1,FIND(")",F75,FIND("(",F75))-FIND("(",F75)-1)),"Send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75" s="28" t="n"/>
      <c r="K75" s="34" t="n"/>
      <c r="L75" s="35">
        <f>IF(AND(OR(J75=TRUE,J75="Yes"),ISNUMBER(K75)),K75+30,"")</f>
        <v/>
      </c>
      <c r="M75" s="28" t="n"/>
      <c r="N75" s="26" t="n"/>
      <c r="O75" s="26" t="n"/>
      <c r="P75" s="30" t="n"/>
    </row>
    <row r="76">
      <c r="A76" s="26" t="n"/>
      <c r="B76" s="26" t="n"/>
      <c r="C76" s="26" t="n"/>
      <c r="D76" s="26" t="n"/>
      <c r="E76" s="34" t="n"/>
      <c r="F76" s="26" t="n"/>
      <c r="G76" s="34" t="n"/>
      <c r="H76" s="62">
        <f>IF(G76="","",IF(G76&gt;TODAY(),"Upcoming",TODAY()-G76))</f>
        <v/>
      </c>
      <c r="I76" s="8">
        <f>IF(F76="","",IF(F76="Unknown","Confirm where it stands",IF(AND(OR(J76=TRUE,J76="Yes"),IFERROR(VALUE(MID(F76,FIND("(",F76)+1,FIND(")",F76,FIND("(",F76))-FIND("(",F76)-1))&gt;=2,FALSE)),"Expedited path: send to final approval",IFERROR(CHOOSE(VALUE(MID(F76,FIND("(",F76)+1,FIND(")",F76,FIND("(",F76))-FIND("(",F76)-1)),"Send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76" s="28" t="n"/>
      <c r="K76" s="34" t="n"/>
      <c r="L76" s="35">
        <f>IF(AND(OR(J76=TRUE,J76="Yes"),ISNUMBER(K76)),K76+30,"")</f>
        <v/>
      </c>
      <c r="M76" s="28" t="n"/>
      <c r="N76" s="26" t="n"/>
      <c r="O76" s="26" t="n"/>
      <c r="P76" s="30" t="n"/>
    </row>
    <row r="77">
      <c r="A77" s="26" t="n"/>
      <c r="B77" s="26" t="n"/>
      <c r="C77" s="26" t="n"/>
      <c r="D77" s="26" t="n"/>
      <c r="E77" s="34" t="n"/>
      <c r="F77" s="26" t="n"/>
      <c r="G77" s="34" t="n"/>
      <c r="H77" s="62">
        <f>IF(G77="","",IF(G77&gt;TODAY(),"Upcoming",TODAY()-G77))</f>
        <v/>
      </c>
      <c r="I77" s="8">
        <f>IF(F77="","",IF(F77="Unknown","Confirm where it stands",IF(AND(OR(J77=TRUE,J77="Yes"),IFERROR(VALUE(MID(F77,FIND("(",F77)+1,FIND(")",F77,FIND("(",F77))-FIND("(",F77)-1))&gt;=2,FALSE)),"Expedited path: send to final approval",IFERROR(CHOOSE(VALUE(MID(F77,FIND("(",F77)+1,FIND(")",F77,FIND("(",F77))-FIND("(",F77)-1)),"Send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77" s="28" t="n"/>
      <c r="K77" s="34" t="n"/>
      <c r="L77" s="35">
        <f>IF(AND(OR(J77=TRUE,J77="Yes"),ISNUMBER(K77)),K77+30,"")</f>
        <v/>
      </c>
      <c r="M77" s="28" t="n"/>
      <c r="N77" s="26" t="n"/>
      <c r="O77" s="26" t="n"/>
      <c r="P77" s="30" t="n"/>
    </row>
    <row r="78">
      <c r="A78" s="26" t="n"/>
      <c r="B78" s="26" t="n"/>
      <c r="C78" s="26" t="n"/>
      <c r="D78" s="26" t="n"/>
      <c r="E78" s="34" t="n"/>
      <c r="F78" s="26" t="n"/>
      <c r="G78" s="34" t="n"/>
      <c r="H78" s="62">
        <f>IF(G78="","",IF(G78&gt;TODAY(),"Upcoming",TODAY()-G78))</f>
        <v/>
      </c>
      <c r="I78" s="8">
        <f>IF(F78="","",IF(F78="Unknown","Confirm where it stands",IF(AND(OR(J78=TRUE,J78="Yes"),IFERROR(VALUE(MID(F78,FIND("(",F78)+1,FIND(")",F78,FIND("(",F78))-FIND("(",F78)-1))&gt;=2,FALSE)),"Expedited path: send to final approval",IFERROR(CHOOSE(VALUE(MID(F78,FIND("(",F78)+1,FIND(")",F78,FIND("(",F78))-FIND("(",F78)-1)),"Send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78" s="28" t="n"/>
      <c r="K78" s="34" t="n"/>
      <c r="L78" s="35">
        <f>IF(AND(OR(J78=TRUE,J78="Yes"),ISNUMBER(K78)),K78+30,"")</f>
        <v/>
      </c>
      <c r="M78" s="28" t="n"/>
      <c r="N78" s="26" t="n"/>
      <c r="O78" s="26" t="n"/>
      <c r="P78" s="30" t="n"/>
    </row>
    <row r="79">
      <c r="A79" s="26" t="n"/>
      <c r="B79" s="26" t="n"/>
      <c r="C79" s="26" t="n"/>
      <c r="D79" s="26" t="n"/>
      <c r="E79" s="34" t="n"/>
      <c r="F79" s="26" t="n"/>
      <c r="G79" s="34" t="n"/>
      <c r="H79" s="62">
        <f>IF(G79="","",IF(G79&gt;TODAY(),"Upcoming",TODAY()-G79))</f>
        <v/>
      </c>
      <c r="I79" s="8">
        <f>IF(F79="","",IF(F79="Unknown","Confirm where it stands",IF(AND(OR(J79=TRUE,J79="Yes"),IFERROR(VALUE(MID(F79,FIND("(",F79)+1,FIND(")",F79,FIND("(",F79))-FIND("(",F79)-1))&gt;=2,FALSE)),"Expedited path: send to final approval",IFERROR(CHOOSE(VALUE(MID(F79,FIND("(",F79)+1,FIND(")",F79,FIND("(",F79))-FIND("(",F79)-1)),"Send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79" s="28" t="n"/>
      <c r="K79" s="34" t="n"/>
      <c r="L79" s="35">
        <f>IF(AND(OR(J79=TRUE,J79="Yes"),ISNUMBER(K79)),K79+30,"")</f>
        <v/>
      </c>
      <c r="M79" s="28" t="n"/>
      <c r="N79" s="26" t="n"/>
      <c r="O79" s="26" t="n"/>
      <c r="P79" s="30" t="n"/>
    </row>
    <row r="80">
      <c r="A80" s="26" t="n"/>
      <c r="B80" s="26" t="n"/>
      <c r="C80" s="26" t="n"/>
      <c r="D80" s="26" t="n"/>
      <c r="E80" s="34" t="n"/>
      <c r="F80" s="26" t="n"/>
      <c r="G80" s="34" t="n"/>
      <c r="H80" s="62">
        <f>IF(G80="","",IF(G80&gt;TODAY(),"Upcoming",TODAY()-G80))</f>
        <v/>
      </c>
      <c r="I80" s="8">
        <f>IF(F80="","",IF(F80="Unknown","Confirm where it stands",IF(AND(OR(J80=TRUE,J80="Yes"),IFERROR(VALUE(MID(F80,FIND("(",F80)+1,FIND(")",F80,FIND("(",F80))-FIND("(",F80)-1))&gt;=2,FALSE)),"Expedited path: send to final approval",IFERROR(CHOOSE(VALUE(MID(F80,FIND("(",F80)+1,FIND(")",F80,FIND("(",F80))-FIND("(",F80)-1)),"Send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80" s="28" t="n"/>
      <c r="K80" s="34" t="n"/>
      <c r="L80" s="35">
        <f>IF(AND(OR(J80=TRUE,J80="Yes"),ISNUMBER(K80)),K80+30,"")</f>
        <v/>
      </c>
      <c r="M80" s="28" t="n"/>
      <c r="N80" s="26" t="n"/>
      <c r="O80" s="26" t="n"/>
      <c r="P80" s="30" t="n"/>
    </row>
    <row r="81">
      <c r="A81" s="26" t="n"/>
      <c r="B81" s="26" t="n"/>
      <c r="C81" s="26" t="n"/>
      <c r="D81" s="26" t="n"/>
      <c r="E81" s="34" t="n"/>
      <c r="F81" s="26" t="n"/>
      <c r="G81" s="34" t="n"/>
      <c r="H81" s="62">
        <f>IF(G81="","",IF(G81&gt;TODAY(),"Upcoming",TODAY()-G81))</f>
        <v/>
      </c>
      <c r="I81" s="8">
        <f>IF(F81="","",IF(F81="Unknown","Confirm where it stands",IF(AND(OR(J81=TRUE,J81="Yes"),IFERROR(VALUE(MID(F81,FIND("(",F81)+1,FIND(")",F81,FIND("(",F81))-FIND("(",F81)-1))&gt;=2,FALSE)),"Expedited path: send to final approval",IFERROR(CHOOSE(VALUE(MID(F81,FIND("(",F81)+1,FIND(")",F81,FIND("(",F81))-FIND("(",F81)-1)),"Send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81" s="28" t="n"/>
      <c r="K81" s="34" t="n"/>
      <c r="L81" s="35">
        <f>IF(AND(OR(J81=TRUE,J81="Yes"),ISNUMBER(K81)),K81+30,"")</f>
        <v/>
      </c>
      <c r="M81" s="28" t="n"/>
      <c r="N81" s="26" t="n"/>
      <c r="O81" s="26" t="n"/>
      <c r="P81" s="30" t="n"/>
    </row>
    <row r="82">
      <c r="A82" s="26" t="n"/>
      <c r="B82" s="26" t="n"/>
      <c r="C82" s="26" t="n"/>
      <c r="D82" s="26" t="n"/>
      <c r="E82" s="34" t="n"/>
      <c r="F82" s="26" t="n"/>
      <c r="G82" s="34" t="n"/>
      <c r="H82" s="62">
        <f>IF(G82="","",IF(G82&gt;TODAY(),"Upcoming",TODAY()-G82))</f>
        <v/>
      </c>
      <c r="I82" s="8">
        <f>IF(F82="","",IF(F82="Unknown","Confirm where it stands",IF(AND(OR(J82=TRUE,J82="Yes"),IFERROR(VALUE(MID(F82,FIND("(",F82)+1,FIND(")",F82,FIND("(",F82))-FIND("(",F82)-1))&gt;=2,FALSE)),"Expedited path: send to final approval",IFERROR(CHOOSE(VALUE(MID(F82,FIND("(",F82)+1,FIND(")",F82,FIND("(",F82))-FIND("(",F82)-1)),"Send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82" s="28" t="n"/>
      <c r="K82" s="34" t="n"/>
      <c r="L82" s="35">
        <f>IF(AND(OR(J82=TRUE,J82="Yes"),ISNUMBER(K82)),K82+30,"")</f>
        <v/>
      </c>
      <c r="M82" s="28" t="n"/>
      <c r="N82" s="26" t="n"/>
      <c r="O82" s="26" t="n"/>
      <c r="P82" s="30" t="n"/>
    </row>
    <row r="83">
      <c r="A83" s="26" t="n"/>
      <c r="B83" s="26" t="n"/>
      <c r="C83" s="26" t="n"/>
      <c r="D83" s="26" t="n"/>
      <c r="E83" s="34" t="n"/>
      <c r="F83" s="26" t="n"/>
      <c r="G83" s="34" t="n"/>
      <c r="H83" s="62">
        <f>IF(G83="","",IF(G83&gt;TODAY(),"Upcoming",TODAY()-G83))</f>
        <v/>
      </c>
      <c r="I83" s="8">
        <f>IF(F83="","",IF(F83="Unknown","Confirm where it stands",IF(AND(OR(J83=TRUE,J83="Yes"),IFERROR(VALUE(MID(F83,FIND("(",F83)+1,FIND(")",F83,FIND("(",F83))-FIND("(",F83)-1))&gt;=2,FALSE)),"Expedited path: send to final approval",IFERROR(CHOOSE(VALUE(MID(F83,FIND("(",F83)+1,FIND(")",F83,FIND("(",F83))-FIND("(",F83)-1)),"Send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83" s="28" t="n"/>
      <c r="K83" s="34" t="n"/>
      <c r="L83" s="35">
        <f>IF(AND(OR(J83=TRUE,J83="Yes"),ISNUMBER(K83)),K83+30,"")</f>
        <v/>
      </c>
      <c r="M83" s="28" t="n"/>
      <c r="N83" s="26" t="n"/>
      <c r="O83" s="26" t="n"/>
      <c r="P83" s="30" t="n"/>
    </row>
    <row r="84">
      <c r="A84" s="26" t="n"/>
      <c r="B84" s="26" t="n"/>
      <c r="C84" s="26" t="n"/>
      <c r="D84" s="26" t="n"/>
      <c r="E84" s="34" t="n"/>
      <c r="F84" s="26" t="n"/>
      <c r="G84" s="34" t="n"/>
      <c r="H84" s="62">
        <f>IF(G84="","",IF(G84&gt;TODAY(),"Upcoming",TODAY()-G84))</f>
        <v/>
      </c>
      <c r="I84" s="8">
        <f>IF(F84="","",IF(F84="Unknown","Confirm where it stands",IF(AND(OR(J84=TRUE,J84="Yes"),IFERROR(VALUE(MID(F84,FIND("(",F84)+1,FIND(")",F84,FIND("(",F84))-FIND("(",F84)-1))&gt;=2,FALSE)),"Expedited path: send to final approval",IFERROR(CHOOSE(VALUE(MID(F84,FIND("(",F84)+1,FIND(")",F84,FIND("(",F84))-FIND("(",F84)-1)),"Send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84" s="28" t="n"/>
      <c r="K84" s="34" t="n"/>
      <c r="L84" s="35">
        <f>IF(AND(OR(J84=TRUE,J84="Yes"),ISNUMBER(K84)),K84+30,"")</f>
        <v/>
      </c>
      <c r="M84" s="28" t="n"/>
      <c r="N84" s="26" t="n"/>
      <c r="O84" s="26" t="n"/>
      <c r="P84" s="30" t="n"/>
    </row>
    <row r="85">
      <c r="A85" s="26" t="n"/>
      <c r="B85" s="26" t="n"/>
      <c r="C85" s="26" t="n"/>
      <c r="D85" s="26" t="n"/>
      <c r="E85" s="34" t="n"/>
      <c r="F85" s="26" t="n"/>
      <c r="G85" s="34" t="n"/>
      <c r="H85" s="62">
        <f>IF(G85="","",IF(G85&gt;TODAY(),"Upcoming",TODAY()-G85))</f>
        <v/>
      </c>
      <c r="I85" s="8">
        <f>IF(F85="","",IF(F85="Unknown","Confirm where it stands",IF(AND(OR(J85=TRUE,J85="Yes"),IFERROR(VALUE(MID(F85,FIND("(",F85)+1,FIND(")",F85,FIND("(",F85))-FIND("(",F85)-1))&gt;=2,FALSE)),"Expedited path: send to final approval",IFERROR(CHOOSE(VALUE(MID(F85,FIND("(",F85)+1,FIND(")",F85,FIND("(",F85))-FIND("(",F85)-1)),"Send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85" s="28" t="n"/>
      <c r="K85" s="34" t="n"/>
      <c r="L85" s="35">
        <f>IF(AND(OR(J85=TRUE,J85="Yes"),ISNUMBER(K85)),K85+30,"")</f>
        <v/>
      </c>
      <c r="M85" s="28" t="n"/>
      <c r="N85" s="26" t="n"/>
      <c r="O85" s="26" t="n"/>
      <c r="P85" s="30" t="n"/>
    </row>
    <row r="86">
      <c r="A86" s="26" t="n"/>
      <c r="B86" s="26" t="n"/>
      <c r="C86" s="26" t="n"/>
      <c r="D86" s="26" t="n"/>
      <c r="E86" s="34" t="n"/>
      <c r="F86" s="26" t="n"/>
      <c r="G86" s="34" t="n"/>
      <c r="H86" s="62">
        <f>IF(G86="","",IF(G86&gt;TODAY(),"Upcoming",TODAY()-G86))</f>
        <v/>
      </c>
      <c r="I86" s="8">
        <f>IF(F86="","",IF(F86="Unknown","Confirm where it stands",IF(AND(OR(J86=TRUE,J86="Yes"),IFERROR(VALUE(MID(F86,FIND("(",F86)+1,FIND(")",F86,FIND("(",F86))-FIND("(",F86)-1))&gt;=2,FALSE)),"Expedited path: send to final approval",IFERROR(CHOOSE(VALUE(MID(F86,FIND("(",F86)+1,FIND(")",F86,FIND("(",F86))-FIND("(",F86)-1)),"Send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86" s="28" t="n"/>
      <c r="K86" s="34" t="n"/>
      <c r="L86" s="35">
        <f>IF(AND(OR(J86=TRUE,J86="Yes"),ISNUMBER(K86)),K86+30,"")</f>
        <v/>
      </c>
      <c r="M86" s="28" t="n"/>
      <c r="N86" s="26" t="n"/>
      <c r="O86" s="26" t="n"/>
      <c r="P86" s="30" t="n"/>
    </row>
    <row r="87">
      <c r="A87" s="26" t="n"/>
      <c r="B87" s="26" t="n"/>
      <c r="C87" s="26" t="n"/>
      <c r="D87" s="26" t="n"/>
      <c r="E87" s="34" t="n"/>
      <c r="F87" s="26" t="n"/>
      <c r="G87" s="34" t="n"/>
      <c r="H87" s="62">
        <f>IF(G87="","",IF(G87&gt;TODAY(),"Upcoming",TODAY()-G87))</f>
        <v/>
      </c>
      <c r="I87" s="8">
        <f>IF(F87="","",IF(F87="Unknown","Confirm where it stands",IF(AND(OR(J87=TRUE,J87="Yes"),IFERROR(VALUE(MID(F87,FIND("(",F87)+1,FIND(")",F87,FIND("(",F87))-FIND("(",F87)-1))&gt;=2,FALSE)),"Expedited path: send to final approval",IFERROR(CHOOSE(VALUE(MID(F87,FIND("(",F87)+1,FIND(")",F87,FIND("(",F87))-FIND("(",F87)-1)),"Send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87" s="28" t="n"/>
      <c r="K87" s="34" t="n"/>
      <c r="L87" s="35">
        <f>IF(AND(OR(J87=TRUE,J87="Yes"),ISNUMBER(K87)),K87+30,"")</f>
        <v/>
      </c>
      <c r="M87" s="28" t="n"/>
      <c r="N87" s="26" t="n"/>
      <c r="O87" s="26" t="n"/>
      <c r="P87" s="30" t="n"/>
    </row>
    <row r="88">
      <c r="A88" s="26" t="n"/>
      <c r="B88" s="26" t="n"/>
      <c r="C88" s="26" t="n"/>
      <c r="D88" s="26" t="n"/>
      <c r="E88" s="34" t="n"/>
      <c r="F88" s="26" t="n"/>
      <c r="G88" s="34" t="n"/>
      <c r="H88" s="62">
        <f>IF(G88="","",IF(G88&gt;TODAY(),"Upcoming",TODAY()-G88))</f>
        <v/>
      </c>
      <c r="I88" s="8">
        <f>IF(F88="","",IF(F88="Unknown","Confirm where it stands",IF(AND(OR(J88=TRUE,J88="Yes"),IFERROR(VALUE(MID(F88,FIND("(",F88)+1,FIND(")",F88,FIND("(",F88))-FIND("(",F88)-1))&gt;=2,FALSE)),"Expedited path: send to final approval",IFERROR(CHOOSE(VALUE(MID(F88,FIND("(",F88)+1,FIND(")",F88,FIND("(",F88))-FIND("(",F88)-1)),"Send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88" s="28" t="n"/>
      <c r="K88" s="34" t="n"/>
      <c r="L88" s="35">
        <f>IF(AND(OR(J88=TRUE,J88="Yes"),ISNUMBER(K88)),K88+30,"")</f>
        <v/>
      </c>
      <c r="M88" s="28" t="n"/>
      <c r="N88" s="26" t="n"/>
      <c r="O88" s="26" t="n"/>
      <c r="P88" s="30" t="n"/>
    </row>
    <row r="89">
      <c r="A89" s="26" t="n"/>
      <c r="B89" s="26" t="n"/>
      <c r="C89" s="26" t="n"/>
      <c r="D89" s="26" t="n"/>
      <c r="E89" s="34" t="n"/>
      <c r="F89" s="26" t="n"/>
      <c r="G89" s="34" t="n"/>
      <c r="H89" s="62">
        <f>IF(G89="","",IF(G89&gt;TODAY(),"Upcoming",TODAY()-G89))</f>
        <v/>
      </c>
      <c r="I89" s="8">
        <f>IF(F89="","",IF(F89="Unknown","Confirm where it stands",IF(AND(OR(J89=TRUE,J89="Yes"),IFERROR(VALUE(MID(F89,FIND("(",F89)+1,FIND(")",F89,FIND("(",F89))-FIND("(",F89)-1))&gt;=2,FALSE)),"Expedited path: send to final approval",IFERROR(CHOOSE(VALUE(MID(F89,FIND("(",F89)+1,FIND(")",F89,FIND("(",F89))-FIND("(",F89)-1)),"Send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89" s="28" t="n"/>
      <c r="K89" s="34" t="n"/>
      <c r="L89" s="35">
        <f>IF(AND(OR(J89=TRUE,J89="Yes"),ISNUMBER(K89)),K89+30,"")</f>
        <v/>
      </c>
      <c r="M89" s="28" t="n"/>
      <c r="N89" s="26" t="n"/>
      <c r="O89" s="26" t="n"/>
      <c r="P89" s="30" t="n"/>
    </row>
    <row r="90">
      <c r="A90" s="26" t="n"/>
      <c r="B90" s="26" t="n"/>
      <c r="C90" s="26" t="n"/>
      <c r="D90" s="26" t="n"/>
      <c r="E90" s="34" t="n"/>
      <c r="F90" s="26" t="n"/>
      <c r="G90" s="34" t="n"/>
      <c r="H90" s="62">
        <f>IF(G90="","",IF(G90&gt;TODAY(),"Upcoming",TODAY()-G90))</f>
        <v/>
      </c>
      <c r="I90" s="8">
        <f>IF(F90="","",IF(F90="Unknown","Confirm where it stands",IF(AND(OR(J90=TRUE,J90="Yes"),IFERROR(VALUE(MID(F90,FIND("(",F90)+1,FIND(")",F90,FIND("(",F90))-FIND("(",F90)-1))&gt;=2,FALSE)),"Expedited path: send to final approval",IFERROR(CHOOSE(VALUE(MID(F90,FIND("(",F90)+1,FIND(")",F90,FIND("(",F90))-FIND("(",F90)-1)),"Send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90" s="28" t="n"/>
      <c r="K90" s="34" t="n"/>
      <c r="L90" s="35">
        <f>IF(AND(OR(J90=TRUE,J90="Yes"),ISNUMBER(K90)),K90+30,"")</f>
        <v/>
      </c>
      <c r="M90" s="28" t="n"/>
      <c r="N90" s="26" t="n"/>
      <c r="O90" s="26" t="n"/>
      <c r="P90" s="30" t="n"/>
    </row>
    <row r="91">
      <c r="A91" s="26" t="n"/>
      <c r="B91" s="26" t="n"/>
      <c r="C91" s="26" t="n"/>
      <c r="D91" s="26" t="n"/>
      <c r="E91" s="34" t="n"/>
      <c r="F91" s="26" t="n"/>
      <c r="G91" s="34" t="n"/>
      <c r="H91" s="62">
        <f>IF(G91="","",IF(G91&gt;TODAY(),"Upcoming",TODAY()-G91))</f>
        <v/>
      </c>
      <c r="I91" s="8">
        <f>IF(F91="","",IF(F91="Unknown","Confirm where it stands",IF(AND(OR(J91=TRUE,J91="Yes"),IFERROR(VALUE(MID(F91,FIND("(",F91)+1,FIND(")",F91,FIND("(",F91))-FIND("(",F91)-1))&gt;=2,FALSE)),"Expedited path: send to final approval",IFERROR(CHOOSE(VALUE(MID(F91,FIND("(",F91)+1,FIND(")",F91,FIND("(",F91))-FIND("(",F91)-1)),"Send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91" s="28" t="n"/>
      <c r="K91" s="34" t="n"/>
      <c r="L91" s="35">
        <f>IF(AND(OR(J91=TRUE,J91="Yes"),ISNUMBER(K91)),K91+30,"")</f>
        <v/>
      </c>
      <c r="M91" s="28" t="n"/>
      <c r="N91" s="26" t="n"/>
      <c r="O91" s="26" t="n"/>
      <c r="P91" s="30" t="n"/>
    </row>
    <row r="92">
      <c r="A92" s="26" t="n"/>
      <c r="B92" s="26" t="n"/>
      <c r="C92" s="26" t="n"/>
      <c r="D92" s="26" t="n"/>
      <c r="E92" s="34" t="n"/>
      <c r="F92" s="26" t="n"/>
      <c r="G92" s="34" t="n"/>
      <c r="H92" s="62">
        <f>IF(G92="","",IF(G92&gt;TODAY(),"Upcoming",TODAY()-G92))</f>
        <v/>
      </c>
      <c r="I92" s="8">
        <f>IF(F92="","",IF(F92="Unknown","Confirm where it stands",IF(AND(OR(J92=TRUE,J92="Yes"),IFERROR(VALUE(MID(F92,FIND("(",F92)+1,FIND(")",F92,FIND("(",F92))-FIND("(",F92)-1))&gt;=2,FALSE)),"Expedited path: send to final approval",IFERROR(CHOOSE(VALUE(MID(F92,FIND("(",F92)+1,FIND(")",F92,FIND("(",F92))-FIND("(",F92)-1)),"Send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92" s="28" t="n"/>
      <c r="K92" s="34" t="n"/>
      <c r="L92" s="35">
        <f>IF(AND(OR(J92=TRUE,J92="Yes"),ISNUMBER(K92)),K92+30,"")</f>
        <v/>
      </c>
      <c r="M92" s="28" t="n"/>
      <c r="N92" s="26" t="n"/>
      <c r="O92" s="26" t="n"/>
      <c r="P92" s="30" t="n"/>
    </row>
    <row r="93">
      <c r="A93" s="26" t="n"/>
      <c r="B93" s="26" t="n"/>
      <c r="C93" s="26" t="n"/>
      <c r="D93" s="26" t="n"/>
      <c r="E93" s="34" t="n"/>
      <c r="F93" s="26" t="n"/>
      <c r="G93" s="34" t="n"/>
      <c r="H93" s="62">
        <f>IF(G93="","",IF(G93&gt;TODAY(),"Upcoming",TODAY()-G93))</f>
        <v/>
      </c>
      <c r="I93" s="8">
        <f>IF(F93="","",IF(F93="Unknown","Confirm where it stands",IF(AND(OR(J93=TRUE,J93="Yes"),IFERROR(VALUE(MID(F93,FIND("(",F93)+1,FIND(")",F93,FIND("(",F93))-FIND("(",F93)-1))&gt;=2,FALSE)),"Expedited path: send to final approval",IFERROR(CHOOSE(VALUE(MID(F93,FIND("(",F93)+1,FIND(")",F93,FIND("(",F93))-FIND("(",F93)-1)),"Send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93" s="28" t="n"/>
      <c r="K93" s="34" t="n"/>
      <c r="L93" s="35">
        <f>IF(AND(OR(J93=TRUE,J93="Yes"),ISNUMBER(K93)),K93+30,"")</f>
        <v/>
      </c>
      <c r="M93" s="28" t="n"/>
      <c r="N93" s="26" t="n"/>
      <c r="O93" s="26" t="n"/>
      <c r="P93" s="30" t="n"/>
    </row>
    <row r="94">
      <c r="A94" s="26" t="n"/>
      <c r="B94" s="26" t="n"/>
      <c r="C94" s="26" t="n"/>
      <c r="D94" s="26" t="n"/>
      <c r="E94" s="34" t="n"/>
      <c r="F94" s="26" t="n"/>
      <c r="G94" s="34" t="n"/>
      <c r="H94" s="62">
        <f>IF(G94="","",IF(G94&gt;TODAY(),"Upcoming",TODAY()-G94))</f>
        <v/>
      </c>
      <c r="I94" s="8">
        <f>IF(F94="","",IF(F94="Unknown","Confirm where it stands",IF(AND(OR(J94=TRUE,J94="Yes"),IFERROR(VALUE(MID(F94,FIND("(",F94)+1,FIND(")",F94,FIND("(",F94))-FIND("(",F94)-1))&gt;=2,FALSE)),"Expedited path: send to final approval",IFERROR(CHOOSE(VALUE(MID(F94,FIND("(",F94)+1,FIND(")",F94,FIND("(",F94))-FIND("(",F94)-1)),"Send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94" s="28" t="n"/>
      <c r="K94" s="34" t="n"/>
      <c r="L94" s="35">
        <f>IF(AND(OR(J94=TRUE,J94="Yes"),ISNUMBER(K94)),K94+30,"")</f>
        <v/>
      </c>
      <c r="M94" s="28" t="n"/>
      <c r="N94" s="26" t="n"/>
      <c r="O94" s="26" t="n"/>
      <c r="P94" s="30" t="n"/>
    </row>
    <row r="95">
      <c r="A95" s="26" t="n"/>
      <c r="B95" s="26" t="n"/>
      <c r="C95" s="26" t="n"/>
      <c r="D95" s="26" t="n"/>
      <c r="E95" s="34" t="n"/>
      <c r="F95" s="26" t="n"/>
      <c r="G95" s="34" t="n"/>
      <c r="H95" s="62">
        <f>IF(G95="","",IF(G95&gt;TODAY(),"Upcoming",TODAY()-G95))</f>
        <v/>
      </c>
      <c r="I95" s="8">
        <f>IF(F95="","",IF(F95="Unknown","Confirm where it stands",IF(AND(OR(J95=TRUE,J95="Yes"),IFERROR(VALUE(MID(F95,FIND("(",F95)+1,FIND(")",F95,FIND("(",F95))-FIND("(",F95)-1))&gt;=2,FALSE)),"Expedited path: send to final approval",IFERROR(CHOOSE(VALUE(MID(F95,FIND("(",F95)+1,FIND(")",F95,FIND("(",F95))-FIND("(",F95)-1)),"Send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95" s="28" t="n"/>
      <c r="K95" s="34" t="n"/>
      <c r="L95" s="35">
        <f>IF(AND(OR(J95=TRUE,J95="Yes"),ISNUMBER(K95)),K95+30,"")</f>
        <v/>
      </c>
      <c r="M95" s="28" t="n"/>
      <c r="N95" s="26" t="n"/>
      <c r="O95" s="26" t="n"/>
      <c r="P95" s="30" t="n"/>
    </row>
    <row r="96">
      <c r="A96" s="26" t="n"/>
      <c r="B96" s="26" t="n"/>
      <c r="C96" s="26" t="n"/>
      <c r="D96" s="26" t="n"/>
      <c r="E96" s="34" t="n"/>
      <c r="F96" s="26" t="n"/>
      <c r="G96" s="34" t="n"/>
      <c r="H96" s="62">
        <f>IF(G96="","",IF(G96&gt;TODAY(),"Upcoming",TODAY()-G96))</f>
        <v/>
      </c>
      <c r="I96" s="8">
        <f>IF(F96="","",IF(F96="Unknown","Confirm where it stands",IF(AND(OR(J96=TRUE,J96="Yes"),IFERROR(VALUE(MID(F96,FIND("(",F96)+1,FIND(")",F96,FIND("(",F96))-FIND("(",F96)-1))&gt;=2,FALSE)),"Expedited path: send to final approval",IFERROR(CHOOSE(VALUE(MID(F96,FIND("(",F96)+1,FIND(")",F96,FIND("(",F96))-FIND("(",F96)-1)),"Send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96" s="28" t="n"/>
      <c r="K96" s="34" t="n"/>
      <c r="L96" s="35">
        <f>IF(AND(OR(J96=TRUE,J96="Yes"),ISNUMBER(K96)),K96+30,"")</f>
        <v/>
      </c>
      <c r="M96" s="28" t="n"/>
      <c r="N96" s="26" t="n"/>
      <c r="O96" s="26" t="n"/>
      <c r="P96" s="30" t="n"/>
    </row>
    <row r="97">
      <c r="A97" s="26" t="n"/>
      <c r="B97" s="26" t="n"/>
      <c r="C97" s="26" t="n"/>
      <c r="D97" s="26" t="n"/>
      <c r="E97" s="34" t="n"/>
      <c r="F97" s="26" t="n"/>
      <c r="G97" s="34" t="n"/>
      <c r="H97" s="62">
        <f>IF(G97="","",IF(G97&gt;TODAY(),"Upcoming",TODAY()-G97))</f>
        <v/>
      </c>
      <c r="I97" s="8">
        <f>IF(F97="","",IF(F97="Unknown","Confirm where it stands",IF(AND(OR(J97=TRUE,J97="Yes"),IFERROR(VALUE(MID(F97,FIND("(",F97)+1,FIND(")",F97,FIND("(",F97))-FIND("(",F97)-1))&gt;=2,FALSE)),"Expedited path: send to final approval",IFERROR(CHOOSE(VALUE(MID(F97,FIND("(",F97)+1,FIND(")",F97,FIND("(",F97))-FIND("(",F97)-1)),"Send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97" s="28" t="n"/>
      <c r="K97" s="34" t="n"/>
      <c r="L97" s="35">
        <f>IF(AND(OR(J97=TRUE,J97="Yes"),ISNUMBER(K97)),K97+30,"")</f>
        <v/>
      </c>
      <c r="M97" s="28" t="n"/>
      <c r="N97" s="26" t="n"/>
      <c r="O97" s="26" t="n"/>
      <c r="P97" s="30" t="n"/>
    </row>
    <row r="98">
      <c r="A98" s="26" t="n"/>
      <c r="B98" s="26" t="n"/>
      <c r="C98" s="26" t="n"/>
      <c r="D98" s="26" t="n"/>
      <c r="E98" s="34" t="n"/>
      <c r="F98" s="26" t="n"/>
      <c r="G98" s="34" t="n"/>
      <c r="H98" s="62">
        <f>IF(G98="","",IF(G98&gt;TODAY(),"Upcoming",TODAY()-G98))</f>
        <v/>
      </c>
      <c r="I98" s="8">
        <f>IF(F98="","",IF(F98="Unknown","Confirm where it stands",IF(AND(OR(J98=TRUE,J98="Yes"),IFERROR(VALUE(MID(F98,FIND("(",F98)+1,FIND(")",F98,FIND("(",F98))-FIND("(",F98)-1))&gt;=2,FALSE)),"Expedited path: send to final approval",IFERROR(CHOOSE(VALUE(MID(F98,FIND("(",F98)+1,FIND(")",F98,FIND("(",F98))-FIND("(",F98)-1)),"Send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98" s="28" t="n"/>
      <c r="K98" s="34" t="n"/>
      <c r="L98" s="35">
        <f>IF(AND(OR(J98=TRUE,J98="Yes"),ISNUMBER(K98)),K98+30,"")</f>
        <v/>
      </c>
      <c r="M98" s="28" t="n"/>
      <c r="N98" s="26" t="n"/>
      <c r="O98" s="26" t="n"/>
      <c r="P98" s="30" t="n"/>
    </row>
    <row r="99">
      <c r="A99" s="26" t="n"/>
      <c r="B99" s="26" t="n"/>
      <c r="C99" s="26" t="n"/>
      <c r="D99" s="26" t="n"/>
      <c r="E99" s="34" t="n"/>
      <c r="F99" s="26" t="n"/>
      <c r="G99" s="34" t="n"/>
      <c r="H99" s="62">
        <f>IF(G99="","",IF(G99&gt;TODAY(),"Upcoming",TODAY()-G99))</f>
        <v/>
      </c>
      <c r="I99" s="8">
        <f>IF(F99="","",IF(F99="Unknown","Confirm where it stands",IF(AND(OR(J99=TRUE,J99="Yes"),IFERROR(VALUE(MID(F99,FIND("(",F99)+1,FIND(")",F99,FIND("(",F99))-FIND("(",F99)-1))&gt;=2,FALSE)),"Expedited path: send to final approval",IFERROR(CHOOSE(VALUE(MID(F99,FIND("(",F99)+1,FIND(")",F99,FIND("(",F99))-FIND("(",F99)-1)),"Send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99" s="28" t="n"/>
      <c r="K99" s="34" t="n"/>
      <c r="L99" s="35">
        <f>IF(AND(OR(J99=TRUE,J99="Yes"),ISNUMBER(K99)),K99+30,"")</f>
        <v/>
      </c>
      <c r="M99" s="28" t="n"/>
      <c r="N99" s="26" t="n"/>
      <c r="O99" s="26" t="n"/>
      <c r="P99" s="30" t="n"/>
    </row>
    <row r="100">
      <c r="A100" s="26" t="n"/>
      <c r="B100" s="26" t="n"/>
      <c r="C100" s="26" t="n"/>
      <c r="D100" s="26" t="n"/>
      <c r="E100" s="34" t="n"/>
      <c r="F100" s="26" t="n"/>
      <c r="G100" s="34" t="n"/>
      <c r="H100" s="62">
        <f>IF(G100="","",IF(G100&gt;TODAY(),"Upcoming",TODAY()-G100))</f>
        <v/>
      </c>
      <c r="I100" s="8">
        <f>IF(F100="","",IF(F100="Unknown","Confirm where it stands",IF(AND(OR(J100=TRUE,J100="Yes"),IFERROR(VALUE(MID(F100,FIND("(",F100)+1,FIND(")",F100,FIND("(",F100))-FIND("(",F100)-1))&gt;=2,FALSE)),"Expedited path: send to final approval",IFERROR(CHOOSE(VALUE(MID(F100,FIND("(",F100)+1,FIND(")",F100,FIND("(",F100))-FIND("(",F100)-1)),"Send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00" s="28" t="n"/>
      <c r="K100" s="34" t="n"/>
      <c r="L100" s="35">
        <f>IF(AND(OR(J100=TRUE,J100="Yes"),ISNUMBER(K100)),K100+30,"")</f>
        <v/>
      </c>
      <c r="M100" s="28" t="n"/>
      <c r="N100" s="26" t="n"/>
      <c r="O100" s="26" t="n"/>
      <c r="P100" s="30" t="n"/>
    </row>
    <row r="101">
      <c r="A101" s="26" t="n"/>
      <c r="B101" s="26" t="n"/>
      <c r="C101" s="26" t="n"/>
      <c r="D101" s="26" t="n"/>
      <c r="E101" s="34" t="n"/>
      <c r="F101" s="26" t="n"/>
      <c r="G101" s="34" t="n"/>
      <c r="H101" s="62">
        <f>IF(G101="","",IF(G101&gt;TODAY(),"Upcoming",TODAY()-G101))</f>
        <v/>
      </c>
      <c r="I101" s="8">
        <f>IF(F101="","",IF(F101="Unknown","Confirm where it stands",IF(AND(OR(J101=TRUE,J101="Yes"),IFERROR(VALUE(MID(F101,FIND("(",F101)+1,FIND(")",F101,FIND("(",F101))-FIND("(",F101)-1))&gt;=2,FALSE)),"Expedited path: send to final approval",IFERROR(CHOOSE(VALUE(MID(F101,FIND("(",F101)+1,FIND(")",F101,FIND("(",F101))-FIND("(",F101)-1)),"Send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01" s="28" t="n"/>
      <c r="K101" s="34" t="n"/>
      <c r="L101" s="35">
        <f>IF(AND(OR(J101=TRUE,J101="Yes"),ISNUMBER(K101)),K101+30,"")</f>
        <v/>
      </c>
      <c r="M101" s="28" t="n"/>
      <c r="N101" s="26" t="n"/>
      <c r="O101" s="26" t="n"/>
      <c r="P101" s="30" t="n"/>
    </row>
    <row r="102">
      <c r="A102" s="26" t="n"/>
      <c r="B102" s="26" t="n"/>
      <c r="C102" s="26" t="n"/>
      <c r="D102" s="26" t="n"/>
      <c r="E102" s="34" t="n"/>
      <c r="F102" s="26" t="n"/>
      <c r="G102" s="34" t="n"/>
      <c r="H102" s="62">
        <f>IF(G102="","",IF(G102&gt;TODAY(),"Upcoming",TODAY()-G102))</f>
        <v/>
      </c>
      <c r="I102" s="8">
        <f>IF(F102="","",IF(F102="Unknown","Confirm where it stands",IF(AND(OR(J102=TRUE,J102="Yes"),IFERROR(VALUE(MID(F102,FIND("(",F102)+1,FIND(")",F102,FIND("(",F102))-FIND("(",F102)-1))&gt;=2,FALSE)),"Expedited path: send to final approval",IFERROR(CHOOSE(VALUE(MID(F102,FIND("(",F102)+1,FIND(")",F102,FIND("(",F102))-FIND("(",F102)-1)),"Send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02" s="28" t="n"/>
      <c r="K102" s="34" t="n"/>
      <c r="L102" s="35">
        <f>IF(AND(OR(J102=TRUE,J102="Yes"),ISNUMBER(K102)),K102+30,"")</f>
        <v/>
      </c>
      <c r="M102" s="28" t="n"/>
      <c r="N102" s="26" t="n"/>
      <c r="O102" s="26" t="n"/>
      <c r="P102" s="30" t="n"/>
    </row>
    <row r="103">
      <c r="A103" s="26" t="n"/>
      <c r="B103" s="26" t="n"/>
      <c r="C103" s="26" t="n"/>
      <c r="D103" s="26" t="n"/>
      <c r="E103" s="34" t="n"/>
      <c r="F103" s="26" t="n"/>
      <c r="G103" s="34" t="n"/>
      <c r="H103" s="62">
        <f>IF(G103="","",IF(G103&gt;TODAY(),"Upcoming",TODAY()-G103))</f>
        <v/>
      </c>
      <c r="I103" s="8">
        <f>IF(F103="","",IF(F103="Unknown","Confirm where it stands",IF(AND(OR(J103=TRUE,J103="Yes"),IFERROR(VALUE(MID(F103,FIND("(",F103)+1,FIND(")",F103,FIND("(",F103))-FIND("(",F103)-1))&gt;=2,FALSE)),"Expedited path: send to final approval",IFERROR(CHOOSE(VALUE(MID(F103,FIND("(",F103)+1,FIND(")",F103,FIND("(",F103))-FIND("(",F103)-1)),"Send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03" s="28" t="n"/>
      <c r="K103" s="34" t="n"/>
      <c r="L103" s="35">
        <f>IF(AND(OR(J103=TRUE,J103="Yes"),ISNUMBER(K103)),K103+30,"")</f>
        <v/>
      </c>
      <c r="M103" s="28" t="n"/>
      <c r="N103" s="26" t="n"/>
      <c r="O103" s="26" t="n"/>
      <c r="P103" s="30" t="n"/>
    </row>
    <row r="104">
      <c r="A104" s="26" t="n"/>
      <c r="B104" s="26" t="n"/>
      <c r="C104" s="26" t="n"/>
      <c r="D104" s="26" t="n"/>
      <c r="E104" s="34" t="n"/>
      <c r="F104" s="26" t="n"/>
      <c r="G104" s="34" t="n"/>
      <c r="H104" s="62">
        <f>IF(G104="","",IF(G104&gt;TODAY(),"Upcoming",TODAY()-G104))</f>
        <v/>
      </c>
      <c r="I104" s="8">
        <f>IF(F104="","",IF(F104="Unknown","Confirm where it stands",IF(AND(OR(J104=TRUE,J104="Yes"),IFERROR(VALUE(MID(F104,FIND("(",F104)+1,FIND(")",F104,FIND("(",F104))-FIND("(",F104)-1))&gt;=2,FALSE)),"Expedited path: send to final approval",IFERROR(CHOOSE(VALUE(MID(F104,FIND("(",F104)+1,FIND(")",F104,FIND("(",F104))-FIND("(",F104)-1)),"Send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04" s="28" t="n"/>
      <c r="K104" s="34" t="n"/>
      <c r="L104" s="35">
        <f>IF(AND(OR(J104=TRUE,J104="Yes"),ISNUMBER(K104)),K104+30,"")</f>
        <v/>
      </c>
      <c r="M104" s="28" t="n"/>
      <c r="N104" s="26" t="n"/>
      <c r="O104" s="26" t="n"/>
      <c r="P104" s="30" t="n"/>
    </row>
    <row r="105">
      <c r="A105" s="26" t="n"/>
      <c r="B105" s="26" t="n"/>
      <c r="C105" s="26" t="n"/>
      <c r="D105" s="26" t="n"/>
      <c r="E105" s="34" t="n"/>
      <c r="F105" s="26" t="n"/>
      <c r="G105" s="34" t="n"/>
      <c r="H105" s="62">
        <f>IF(G105="","",IF(G105&gt;TODAY(),"Upcoming",TODAY()-G105))</f>
        <v/>
      </c>
      <c r="I105" s="8">
        <f>IF(F105="","",IF(F105="Unknown","Confirm where it stands",IF(AND(OR(J105=TRUE,J105="Yes"),IFERROR(VALUE(MID(F105,FIND("(",F105)+1,FIND(")",F105,FIND("(",F105))-FIND("(",F105)-1))&gt;=2,FALSE)),"Expedited path: send to final approval",IFERROR(CHOOSE(VALUE(MID(F105,FIND("(",F105)+1,FIND(")",F105,FIND("(",F105))-FIND("(",F105)-1)),"Send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05" s="28" t="n"/>
      <c r="K105" s="34" t="n"/>
      <c r="L105" s="35">
        <f>IF(AND(OR(J105=TRUE,J105="Yes"),ISNUMBER(K105)),K105+30,"")</f>
        <v/>
      </c>
      <c r="M105" s="28" t="n"/>
      <c r="N105" s="26" t="n"/>
      <c r="O105" s="26" t="n"/>
      <c r="P105" s="30" t="n"/>
    </row>
    <row r="106">
      <c r="A106" s="26" t="n"/>
      <c r="B106" s="26" t="n"/>
      <c r="C106" s="26" t="n"/>
      <c r="D106" s="26" t="n"/>
      <c r="E106" s="34" t="n"/>
      <c r="F106" s="26" t="n"/>
      <c r="G106" s="34" t="n"/>
      <c r="H106" s="62">
        <f>IF(G106="","",IF(G106&gt;TODAY(),"Upcoming",TODAY()-G106))</f>
        <v/>
      </c>
      <c r="I106" s="8">
        <f>IF(F106="","",IF(F106="Unknown","Confirm where it stands",IF(AND(OR(J106=TRUE,J106="Yes"),IFERROR(VALUE(MID(F106,FIND("(",F106)+1,FIND(")",F106,FIND("(",F106))-FIND("(",F106)-1))&gt;=2,FALSE)),"Expedited path: send to final approval",IFERROR(CHOOSE(VALUE(MID(F106,FIND("(",F106)+1,FIND(")",F106,FIND("(",F106))-FIND("(",F106)-1)),"Send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06" s="28" t="n"/>
      <c r="K106" s="34" t="n"/>
      <c r="L106" s="35">
        <f>IF(AND(OR(J106=TRUE,J106="Yes"),ISNUMBER(K106)),K106+30,"")</f>
        <v/>
      </c>
      <c r="M106" s="28" t="n"/>
      <c r="N106" s="26" t="n"/>
      <c r="O106" s="26" t="n"/>
      <c r="P106" s="30" t="n"/>
    </row>
    <row r="107">
      <c r="A107" s="26" t="n"/>
      <c r="B107" s="26" t="n"/>
      <c r="C107" s="26" t="n"/>
      <c r="D107" s="26" t="n"/>
      <c r="E107" s="34" t="n"/>
      <c r="F107" s="26" t="n"/>
      <c r="G107" s="34" t="n"/>
      <c r="H107" s="62">
        <f>IF(G107="","",IF(G107&gt;TODAY(),"Upcoming",TODAY()-G107))</f>
        <v/>
      </c>
      <c r="I107" s="8">
        <f>IF(F107="","",IF(F107="Unknown","Confirm where it stands",IF(AND(OR(J107=TRUE,J107="Yes"),IFERROR(VALUE(MID(F107,FIND("(",F107)+1,FIND(")",F107,FIND("(",F107))-FIND("(",F107)-1))&gt;=2,FALSE)),"Expedited path: send to final approval",IFERROR(CHOOSE(VALUE(MID(F107,FIND("(",F107)+1,FIND(")",F107,FIND("(",F107))-FIND("(",F107)-1)),"Send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07" s="28" t="n"/>
      <c r="K107" s="34" t="n"/>
      <c r="L107" s="35">
        <f>IF(AND(OR(J107=TRUE,J107="Yes"),ISNUMBER(K107)),K107+30,"")</f>
        <v/>
      </c>
      <c r="M107" s="28" t="n"/>
      <c r="N107" s="26" t="n"/>
      <c r="O107" s="26" t="n"/>
      <c r="P107" s="30" t="n"/>
    </row>
    <row r="108">
      <c r="A108" s="26" t="n"/>
      <c r="B108" s="26" t="n"/>
      <c r="C108" s="26" t="n"/>
      <c r="D108" s="26" t="n"/>
      <c r="E108" s="34" t="n"/>
      <c r="F108" s="26" t="n"/>
      <c r="G108" s="34" t="n"/>
      <c r="H108" s="62">
        <f>IF(G108="","",IF(G108&gt;TODAY(),"Upcoming",TODAY()-G108))</f>
        <v/>
      </c>
      <c r="I108" s="8">
        <f>IF(F108="","",IF(F108="Unknown","Confirm where it stands",IF(AND(OR(J108=TRUE,J108="Yes"),IFERROR(VALUE(MID(F108,FIND("(",F108)+1,FIND(")",F108,FIND("(",F108))-FIND("(",F108)-1))&gt;=2,FALSE)),"Expedited path: send to final approval",IFERROR(CHOOSE(VALUE(MID(F108,FIND("(",F108)+1,FIND(")",F108,FIND("(",F108))-FIND("(",F108)-1)),"Send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08" s="28" t="n"/>
      <c r="K108" s="34" t="n"/>
      <c r="L108" s="35">
        <f>IF(AND(OR(J108=TRUE,J108="Yes"),ISNUMBER(K108)),K108+30,"")</f>
        <v/>
      </c>
      <c r="M108" s="28" t="n"/>
      <c r="N108" s="26" t="n"/>
      <c r="O108" s="26" t="n"/>
      <c r="P108" s="30" t="n"/>
    </row>
    <row r="109">
      <c r="A109" s="26" t="n"/>
      <c r="B109" s="26" t="n"/>
      <c r="C109" s="26" t="n"/>
      <c r="D109" s="26" t="n"/>
      <c r="E109" s="34" t="n"/>
      <c r="F109" s="26" t="n"/>
      <c r="G109" s="34" t="n"/>
      <c r="H109" s="62">
        <f>IF(G109="","",IF(G109&gt;TODAY(),"Upcoming",TODAY()-G109))</f>
        <v/>
      </c>
      <c r="I109" s="8">
        <f>IF(F109="","",IF(F109="Unknown","Confirm where it stands",IF(AND(OR(J109=TRUE,J109="Yes"),IFERROR(VALUE(MID(F109,FIND("(",F109)+1,FIND(")",F109,FIND("(",F109))-FIND("(",F109)-1))&gt;=2,FALSE)),"Expedited path: send to final approval",IFERROR(CHOOSE(VALUE(MID(F109,FIND("(",F109)+1,FIND(")",F109,FIND("(",F109))-FIND("(",F109)-1)),"Send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09" s="28" t="n"/>
      <c r="K109" s="34" t="n"/>
      <c r="L109" s="35">
        <f>IF(AND(OR(J109=TRUE,J109="Yes"),ISNUMBER(K109)),K109+30,"")</f>
        <v/>
      </c>
      <c r="M109" s="28" t="n"/>
      <c r="N109" s="26" t="n"/>
      <c r="O109" s="26" t="n"/>
      <c r="P109" s="30" t="n"/>
    </row>
    <row r="110">
      <c r="A110" s="26" t="n"/>
      <c r="B110" s="26" t="n"/>
      <c r="C110" s="26" t="n"/>
      <c r="D110" s="26" t="n"/>
      <c r="E110" s="34" t="n"/>
      <c r="F110" s="26" t="n"/>
      <c r="G110" s="34" t="n"/>
      <c r="H110" s="62">
        <f>IF(G110="","",IF(G110&gt;TODAY(),"Upcoming",TODAY()-G110))</f>
        <v/>
      </c>
      <c r="I110" s="8">
        <f>IF(F110="","",IF(F110="Unknown","Confirm where it stands",IF(AND(OR(J110=TRUE,J110="Yes"),IFERROR(VALUE(MID(F110,FIND("(",F110)+1,FIND(")",F110,FIND("(",F110))-FIND("(",F110)-1))&gt;=2,FALSE)),"Expedited path: send to final approval",IFERROR(CHOOSE(VALUE(MID(F110,FIND("(",F110)+1,FIND(")",F110,FIND("(",F110))-FIND("(",F110)-1)),"Send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10" s="28" t="n"/>
      <c r="K110" s="34" t="n"/>
      <c r="L110" s="35">
        <f>IF(AND(OR(J110=TRUE,J110="Yes"),ISNUMBER(K110)),K110+30,"")</f>
        <v/>
      </c>
      <c r="M110" s="28" t="n"/>
      <c r="N110" s="26" t="n"/>
      <c r="O110" s="26" t="n"/>
      <c r="P110" s="30" t="n"/>
    </row>
    <row r="111">
      <c r="A111" s="26" t="n"/>
      <c r="B111" s="26" t="n"/>
      <c r="C111" s="26" t="n"/>
      <c r="D111" s="26" t="n"/>
      <c r="E111" s="34" t="n"/>
      <c r="F111" s="26" t="n"/>
      <c r="G111" s="34" t="n"/>
      <c r="H111" s="62">
        <f>IF(G111="","",IF(G111&gt;TODAY(),"Upcoming",TODAY()-G111))</f>
        <v/>
      </c>
      <c r="I111" s="8">
        <f>IF(F111="","",IF(F111="Unknown","Confirm where it stands",IF(AND(OR(J111=TRUE,J111="Yes"),IFERROR(VALUE(MID(F111,FIND("(",F111)+1,FIND(")",F111,FIND("(",F111))-FIND("(",F111)-1))&gt;=2,FALSE)),"Expedited path: send to final approval",IFERROR(CHOOSE(VALUE(MID(F111,FIND("(",F111)+1,FIND(")",F111,FIND("(",F111))-FIND("(",F111)-1)),"Send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11" s="28" t="n"/>
      <c r="K111" s="34" t="n"/>
      <c r="L111" s="35">
        <f>IF(AND(OR(J111=TRUE,J111="Yes"),ISNUMBER(K111)),K111+30,"")</f>
        <v/>
      </c>
      <c r="M111" s="28" t="n"/>
      <c r="N111" s="26" t="n"/>
      <c r="O111" s="26" t="n"/>
      <c r="P111" s="30" t="n"/>
    </row>
    <row r="112">
      <c r="A112" s="26" t="n"/>
      <c r="B112" s="26" t="n"/>
      <c r="C112" s="26" t="n"/>
      <c r="D112" s="26" t="n"/>
      <c r="E112" s="34" t="n"/>
      <c r="F112" s="26" t="n"/>
      <c r="G112" s="34" t="n"/>
      <c r="H112" s="62">
        <f>IF(G112="","",IF(G112&gt;TODAY(),"Upcoming",TODAY()-G112))</f>
        <v/>
      </c>
      <c r="I112" s="8">
        <f>IF(F112="","",IF(F112="Unknown","Confirm where it stands",IF(AND(OR(J112=TRUE,J112="Yes"),IFERROR(VALUE(MID(F112,FIND("(",F112)+1,FIND(")",F112,FIND("(",F112))-FIND("(",F112)-1))&gt;=2,FALSE)),"Expedited path: send to final approval",IFERROR(CHOOSE(VALUE(MID(F112,FIND("(",F112)+1,FIND(")",F112,FIND("(",F112))-FIND("(",F112)-1)),"Send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12" s="28" t="n"/>
      <c r="K112" s="34" t="n"/>
      <c r="L112" s="35">
        <f>IF(AND(OR(J112=TRUE,J112="Yes"),ISNUMBER(K112)),K112+30,"")</f>
        <v/>
      </c>
      <c r="M112" s="28" t="n"/>
      <c r="N112" s="26" t="n"/>
      <c r="O112" s="26" t="n"/>
      <c r="P112" s="30" t="n"/>
    </row>
    <row r="113">
      <c r="A113" s="26" t="n"/>
      <c r="B113" s="26" t="n"/>
      <c r="C113" s="26" t="n"/>
      <c r="D113" s="26" t="n"/>
      <c r="E113" s="34" t="n"/>
      <c r="F113" s="26" t="n"/>
      <c r="G113" s="34" t="n"/>
      <c r="H113" s="62">
        <f>IF(G113="","",IF(G113&gt;TODAY(),"Upcoming",TODAY()-G113))</f>
        <v/>
      </c>
      <c r="I113" s="8">
        <f>IF(F113="","",IF(F113="Unknown","Confirm where it stands",IF(AND(OR(J113=TRUE,J113="Yes"),IFERROR(VALUE(MID(F113,FIND("(",F113)+1,FIND(")",F113,FIND("(",F113))-FIND("(",F113)-1))&gt;=2,FALSE)),"Expedited path: send to final approval",IFERROR(CHOOSE(VALUE(MID(F113,FIND("(",F113)+1,FIND(")",F113,FIND("(",F113))-FIND("(",F113)-1)),"Send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13" s="28" t="n"/>
      <c r="K113" s="34" t="n"/>
      <c r="L113" s="35">
        <f>IF(AND(OR(J113=TRUE,J113="Yes"),ISNUMBER(K113)),K113+30,"")</f>
        <v/>
      </c>
      <c r="M113" s="28" t="n"/>
      <c r="N113" s="26" t="n"/>
      <c r="O113" s="26" t="n"/>
      <c r="P113" s="30" t="n"/>
    </row>
    <row r="114">
      <c r="A114" s="26" t="n"/>
      <c r="B114" s="26" t="n"/>
      <c r="C114" s="26" t="n"/>
      <c r="D114" s="26" t="n"/>
      <c r="E114" s="34" t="n"/>
      <c r="F114" s="26" t="n"/>
      <c r="G114" s="34" t="n"/>
      <c r="H114" s="62">
        <f>IF(G114="","",IF(G114&gt;TODAY(),"Upcoming",TODAY()-G114))</f>
        <v/>
      </c>
      <c r="I114" s="8">
        <f>IF(F114="","",IF(F114="Unknown","Confirm where it stands",IF(AND(OR(J114=TRUE,J114="Yes"),IFERROR(VALUE(MID(F114,FIND("(",F114)+1,FIND(")",F114,FIND("(",F114))-FIND("(",F114)-1))&gt;=2,FALSE)),"Expedited path: send to final approval",IFERROR(CHOOSE(VALUE(MID(F114,FIND("(",F114)+1,FIND(")",F114,FIND("(",F114))-FIND("(",F114)-1)),"Send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14" s="28" t="n"/>
      <c r="K114" s="34" t="n"/>
      <c r="L114" s="35">
        <f>IF(AND(OR(J114=TRUE,J114="Yes"),ISNUMBER(K114)),K114+30,"")</f>
        <v/>
      </c>
      <c r="M114" s="28" t="n"/>
      <c r="N114" s="26" t="n"/>
      <c r="O114" s="26" t="n"/>
      <c r="P114" s="30" t="n"/>
    </row>
    <row r="115">
      <c r="A115" s="26" t="n"/>
      <c r="B115" s="26" t="n"/>
      <c r="C115" s="26" t="n"/>
      <c r="D115" s="26" t="n"/>
      <c r="E115" s="34" t="n"/>
      <c r="F115" s="26" t="n"/>
      <c r="G115" s="34" t="n"/>
      <c r="H115" s="62">
        <f>IF(G115="","",IF(G115&gt;TODAY(),"Upcoming",TODAY()-G115))</f>
        <v/>
      </c>
      <c r="I115" s="8">
        <f>IF(F115="","",IF(F115="Unknown","Confirm where it stands",IF(AND(OR(J115=TRUE,J115="Yes"),IFERROR(VALUE(MID(F115,FIND("(",F115)+1,FIND(")",F115,FIND("(",F115))-FIND("(",F115)-1))&gt;=2,FALSE)),"Expedited path: send to final approval",IFERROR(CHOOSE(VALUE(MID(F115,FIND("(",F115)+1,FIND(")",F115,FIND("(",F115))-FIND("(",F115)-1)),"Send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15" s="28" t="n"/>
      <c r="K115" s="34" t="n"/>
      <c r="L115" s="35">
        <f>IF(AND(OR(J115=TRUE,J115="Yes"),ISNUMBER(K115)),K115+30,"")</f>
        <v/>
      </c>
      <c r="M115" s="28" t="n"/>
      <c r="N115" s="26" t="n"/>
      <c r="O115" s="26" t="n"/>
      <c r="P115" s="30" t="n"/>
    </row>
    <row r="116">
      <c r="A116" s="26" t="n"/>
      <c r="B116" s="26" t="n"/>
      <c r="C116" s="26" t="n"/>
      <c r="D116" s="26" t="n"/>
      <c r="E116" s="34" t="n"/>
      <c r="F116" s="26" t="n"/>
      <c r="G116" s="34" t="n"/>
      <c r="H116" s="62">
        <f>IF(G116="","",IF(G116&gt;TODAY(),"Upcoming",TODAY()-G116))</f>
        <v/>
      </c>
      <c r="I116" s="8">
        <f>IF(F116="","",IF(F116="Unknown","Confirm where it stands",IF(AND(OR(J116=TRUE,J116="Yes"),IFERROR(VALUE(MID(F116,FIND("(",F116)+1,FIND(")",F116,FIND("(",F116))-FIND("(",F116)-1))&gt;=2,FALSE)),"Expedited path: send to final approval",IFERROR(CHOOSE(VALUE(MID(F116,FIND("(",F116)+1,FIND(")",F116,FIND("(",F116))-FIND("(",F116)-1)),"Send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16" s="28" t="n"/>
      <c r="K116" s="34" t="n"/>
      <c r="L116" s="35">
        <f>IF(AND(OR(J116=TRUE,J116="Yes"),ISNUMBER(K116)),K116+30,"")</f>
        <v/>
      </c>
      <c r="M116" s="28" t="n"/>
      <c r="N116" s="26" t="n"/>
      <c r="O116" s="26" t="n"/>
      <c r="P116" s="30" t="n"/>
    </row>
    <row r="117">
      <c r="A117" s="26" t="n"/>
      <c r="B117" s="26" t="n"/>
      <c r="C117" s="26" t="n"/>
      <c r="D117" s="26" t="n"/>
      <c r="E117" s="34" t="n"/>
      <c r="F117" s="26" t="n"/>
      <c r="G117" s="34" t="n"/>
      <c r="H117" s="62">
        <f>IF(G117="","",IF(G117&gt;TODAY(),"Upcoming",TODAY()-G117))</f>
        <v/>
      </c>
      <c r="I117" s="8">
        <f>IF(F117="","",IF(F117="Unknown","Confirm where it stands",IF(AND(OR(J117=TRUE,J117="Yes"),IFERROR(VALUE(MID(F117,FIND("(",F117)+1,FIND(")",F117,FIND("(",F117))-FIND("(",F117)-1))&gt;=2,FALSE)),"Expedited path: send to final approval",IFERROR(CHOOSE(VALUE(MID(F117,FIND("(",F117)+1,FIND(")",F117,FIND("(",F117))-FIND("(",F117)-1)),"Send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17" s="28" t="n"/>
      <c r="K117" s="34" t="n"/>
      <c r="L117" s="35">
        <f>IF(AND(OR(J117=TRUE,J117="Yes"),ISNUMBER(K117)),K117+30,"")</f>
        <v/>
      </c>
      <c r="M117" s="28" t="n"/>
      <c r="N117" s="26" t="n"/>
      <c r="O117" s="26" t="n"/>
      <c r="P117" s="30" t="n"/>
    </row>
    <row r="118">
      <c r="A118" s="26" t="n"/>
      <c r="B118" s="26" t="n"/>
      <c r="C118" s="26" t="n"/>
      <c r="D118" s="26" t="n"/>
      <c r="E118" s="34" t="n"/>
      <c r="F118" s="26" t="n"/>
      <c r="G118" s="34" t="n"/>
      <c r="H118" s="62">
        <f>IF(G118="","",IF(G118&gt;TODAY(),"Upcoming",TODAY()-G118))</f>
        <v/>
      </c>
      <c r="I118" s="8">
        <f>IF(F118="","",IF(F118="Unknown","Confirm where it stands",IF(AND(OR(J118=TRUE,J118="Yes"),IFERROR(VALUE(MID(F118,FIND("(",F118)+1,FIND(")",F118,FIND("(",F118))-FIND("(",F118)-1))&gt;=2,FALSE)),"Expedited path: send to final approval",IFERROR(CHOOSE(VALUE(MID(F118,FIND("(",F118)+1,FIND(")",F118,FIND("(",F118))-FIND("(",F118)-1)),"Send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18" s="28" t="n"/>
      <c r="K118" s="34" t="n"/>
      <c r="L118" s="35">
        <f>IF(AND(OR(J118=TRUE,J118="Yes"),ISNUMBER(K118)),K118+30,"")</f>
        <v/>
      </c>
      <c r="M118" s="28" t="n"/>
      <c r="N118" s="26" t="n"/>
      <c r="O118" s="26" t="n"/>
      <c r="P118" s="30" t="n"/>
    </row>
    <row r="119">
      <c r="A119" s="26" t="n"/>
      <c r="B119" s="26" t="n"/>
      <c r="C119" s="26" t="n"/>
      <c r="D119" s="26" t="n"/>
      <c r="E119" s="34" t="n"/>
      <c r="F119" s="26" t="n"/>
      <c r="G119" s="34" t="n"/>
      <c r="H119" s="62">
        <f>IF(G119="","",IF(G119&gt;TODAY(),"Upcoming",TODAY()-G119))</f>
        <v/>
      </c>
      <c r="I119" s="8">
        <f>IF(F119="","",IF(F119="Unknown","Confirm where it stands",IF(AND(OR(J119=TRUE,J119="Yes"),IFERROR(VALUE(MID(F119,FIND("(",F119)+1,FIND(")",F119,FIND("(",F119))-FIND("(",F119)-1))&gt;=2,FALSE)),"Expedited path: send to final approval",IFERROR(CHOOSE(VALUE(MID(F119,FIND("(",F119)+1,FIND(")",F119,FIND("(",F119))-FIND("(",F119)-1)),"Send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19" s="28" t="n"/>
      <c r="K119" s="34" t="n"/>
      <c r="L119" s="35">
        <f>IF(AND(OR(J119=TRUE,J119="Yes"),ISNUMBER(K119)),K119+30,"")</f>
        <v/>
      </c>
      <c r="M119" s="28" t="n"/>
      <c r="N119" s="26" t="n"/>
      <c r="O119" s="26" t="n"/>
      <c r="P119" s="30" t="n"/>
    </row>
    <row r="120">
      <c r="A120" s="26" t="n"/>
      <c r="B120" s="26" t="n"/>
      <c r="C120" s="26" t="n"/>
      <c r="D120" s="26" t="n"/>
      <c r="E120" s="34" t="n"/>
      <c r="F120" s="26" t="n"/>
      <c r="G120" s="34" t="n"/>
      <c r="H120" s="62">
        <f>IF(G120="","",IF(G120&gt;TODAY(),"Upcoming",TODAY()-G120))</f>
        <v/>
      </c>
      <c r="I120" s="8">
        <f>IF(F120="","",IF(F120="Unknown","Confirm where it stands",IF(AND(OR(J120=TRUE,J120="Yes"),IFERROR(VALUE(MID(F120,FIND("(",F120)+1,FIND(")",F120,FIND("(",F120))-FIND("(",F120)-1))&gt;=2,FALSE)),"Expedited path: send to final approval",IFERROR(CHOOSE(VALUE(MID(F120,FIND("(",F120)+1,FIND(")",F120,FIND("(",F120))-FIND("(",F120)-1)),"Send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20" s="28" t="n"/>
      <c r="K120" s="34" t="n"/>
      <c r="L120" s="35">
        <f>IF(AND(OR(J120=TRUE,J120="Yes"),ISNUMBER(K120)),K120+30,"")</f>
        <v/>
      </c>
      <c r="M120" s="28" t="n"/>
      <c r="N120" s="26" t="n"/>
      <c r="O120" s="26" t="n"/>
      <c r="P120" s="30" t="n"/>
    </row>
    <row r="121">
      <c r="A121" s="26" t="n"/>
      <c r="B121" s="26" t="n"/>
      <c r="C121" s="26" t="n"/>
      <c r="D121" s="26" t="n"/>
      <c r="E121" s="34" t="n"/>
      <c r="F121" s="26" t="n"/>
      <c r="G121" s="34" t="n"/>
      <c r="H121" s="62">
        <f>IF(G121="","",IF(G121&gt;TODAY(),"Upcoming",TODAY()-G121))</f>
        <v/>
      </c>
      <c r="I121" s="8">
        <f>IF(F121="","",IF(F121="Unknown","Confirm where it stands",IF(AND(OR(J121=TRUE,J121="Yes"),IFERROR(VALUE(MID(F121,FIND("(",F121)+1,FIND(")",F121,FIND("(",F121))-FIND("(",F121)-1))&gt;=2,FALSE)),"Expedited path: send to final approval",IFERROR(CHOOSE(VALUE(MID(F121,FIND("(",F121)+1,FIND(")",F121,FIND("(",F121))-FIND("(",F121)-1)),"Send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21" s="28" t="n"/>
      <c r="K121" s="34" t="n"/>
      <c r="L121" s="35">
        <f>IF(AND(OR(J121=TRUE,J121="Yes"),ISNUMBER(K121)),K121+30,"")</f>
        <v/>
      </c>
      <c r="M121" s="28" t="n"/>
      <c r="N121" s="26" t="n"/>
      <c r="O121" s="26" t="n"/>
      <c r="P121" s="30" t="n"/>
    </row>
    <row r="122">
      <c r="A122" s="26" t="n"/>
      <c r="B122" s="26" t="n"/>
      <c r="C122" s="26" t="n"/>
      <c r="D122" s="26" t="n"/>
      <c r="E122" s="34" t="n"/>
      <c r="F122" s="26" t="n"/>
      <c r="G122" s="34" t="n"/>
      <c r="H122" s="62">
        <f>IF(G122="","",IF(G122&gt;TODAY(),"Upcoming",TODAY()-G122))</f>
        <v/>
      </c>
      <c r="I122" s="8">
        <f>IF(F122="","",IF(F122="Unknown","Confirm where it stands",IF(AND(OR(J122=TRUE,J122="Yes"),IFERROR(VALUE(MID(F122,FIND("(",F122)+1,FIND(")",F122,FIND("(",F122))-FIND("(",F122)-1))&gt;=2,FALSE)),"Expedited path: send to final approval",IFERROR(CHOOSE(VALUE(MID(F122,FIND("(",F122)+1,FIND(")",F122,FIND("(",F122))-FIND("(",F122)-1)),"Send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22" s="28" t="n"/>
      <c r="K122" s="34" t="n"/>
      <c r="L122" s="35">
        <f>IF(AND(OR(J122=TRUE,J122="Yes"),ISNUMBER(K122)),K122+30,"")</f>
        <v/>
      </c>
      <c r="M122" s="28" t="n"/>
      <c r="N122" s="26" t="n"/>
      <c r="O122" s="26" t="n"/>
      <c r="P122" s="30" t="n"/>
    </row>
    <row r="123">
      <c r="A123" s="26" t="n"/>
      <c r="B123" s="26" t="n"/>
      <c r="C123" s="26" t="n"/>
      <c r="D123" s="26" t="n"/>
      <c r="E123" s="34" t="n"/>
      <c r="F123" s="26" t="n"/>
      <c r="G123" s="34" t="n"/>
      <c r="H123" s="62">
        <f>IF(G123="","",IF(G123&gt;TODAY(),"Upcoming",TODAY()-G123))</f>
        <v/>
      </c>
      <c r="I123" s="8">
        <f>IF(F123="","",IF(F123="Unknown","Confirm where it stands",IF(AND(OR(J123=TRUE,J123="Yes"),IFERROR(VALUE(MID(F123,FIND("(",F123)+1,FIND(")",F123,FIND("(",F123))-FIND("(",F123)-1))&gt;=2,FALSE)),"Expedited path: send to final approval",IFERROR(CHOOSE(VALUE(MID(F123,FIND("(",F123)+1,FIND(")",F123,FIND("(",F123))-FIND("(",F123)-1)),"Send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23" s="28" t="n"/>
      <c r="K123" s="34" t="n"/>
      <c r="L123" s="35">
        <f>IF(AND(OR(J123=TRUE,J123="Yes"),ISNUMBER(K123)),K123+30,"")</f>
        <v/>
      </c>
      <c r="M123" s="28" t="n"/>
      <c r="N123" s="26" t="n"/>
      <c r="O123" s="26" t="n"/>
      <c r="P123" s="30" t="n"/>
    </row>
    <row r="124">
      <c r="A124" s="26" t="n"/>
      <c r="B124" s="26" t="n"/>
      <c r="C124" s="26" t="n"/>
      <c r="D124" s="26" t="n"/>
      <c r="E124" s="34" t="n"/>
      <c r="F124" s="26" t="n"/>
      <c r="G124" s="34" t="n"/>
      <c r="H124" s="62">
        <f>IF(G124="","",IF(G124&gt;TODAY(),"Upcoming",TODAY()-G124))</f>
        <v/>
      </c>
      <c r="I124" s="8">
        <f>IF(F124="","",IF(F124="Unknown","Confirm where it stands",IF(AND(OR(J124=TRUE,J124="Yes"),IFERROR(VALUE(MID(F124,FIND("(",F124)+1,FIND(")",F124,FIND("(",F124))-FIND("(",F124)-1))&gt;=2,FALSE)),"Expedited path: send to final approval",IFERROR(CHOOSE(VALUE(MID(F124,FIND("(",F124)+1,FIND(")",F124,FIND("(",F124))-FIND("(",F124)-1)),"Send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24" s="28" t="n"/>
      <c r="K124" s="34" t="n"/>
      <c r="L124" s="35">
        <f>IF(AND(OR(J124=TRUE,J124="Yes"),ISNUMBER(K124)),K124+30,"")</f>
        <v/>
      </c>
      <c r="M124" s="28" t="n"/>
      <c r="N124" s="26" t="n"/>
      <c r="O124" s="26" t="n"/>
      <c r="P124" s="30" t="n"/>
    </row>
    <row r="125">
      <c r="A125" s="26" t="n"/>
      <c r="B125" s="26" t="n"/>
      <c r="C125" s="26" t="n"/>
      <c r="D125" s="26" t="n"/>
      <c r="E125" s="34" t="n"/>
      <c r="F125" s="26" t="n"/>
      <c r="G125" s="34" t="n"/>
      <c r="H125" s="62">
        <f>IF(G125="","",IF(G125&gt;TODAY(),"Upcoming",TODAY()-G125))</f>
        <v/>
      </c>
      <c r="I125" s="8">
        <f>IF(F125="","",IF(F125="Unknown","Confirm where it stands",IF(AND(OR(J125=TRUE,J125="Yes"),IFERROR(VALUE(MID(F125,FIND("(",F125)+1,FIND(")",F125,FIND("(",F125))-FIND("(",F125)-1))&gt;=2,FALSE)),"Expedited path: send to final approval",IFERROR(CHOOSE(VALUE(MID(F125,FIND("(",F125)+1,FIND(")",F125,FIND("(",F125))-FIND("(",F125)-1)),"Send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25" s="28" t="n"/>
      <c r="K125" s="34" t="n"/>
      <c r="L125" s="35">
        <f>IF(AND(OR(J125=TRUE,J125="Yes"),ISNUMBER(K125)),K125+30,"")</f>
        <v/>
      </c>
      <c r="M125" s="28" t="n"/>
      <c r="N125" s="26" t="n"/>
      <c r="O125" s="26" t="n"/>
      <c r="P125" s="30" t="n"/>
    </row>
    <row r="126">
      <c r="A126" s="26" t="n"/>
      <c r="B126" s="26" t="n"/>
      <c r="C126" s="26" t="n"/>
      <c r="D126" s="26" t="n"/>
      <c r="E126" s="34" t="n"/>
      <c r="F126" s="26" t="n"/>
      <c r="G126" s="34" t="n"/>
      <c r="H126" s="62">
        <f>IF(G126="","",IF(G126&gt;TODAY(),"Upcoming",TODAY()-G126))</f>
        <v/>
      </c>
      <c r="I126" s="8">
        <f>IF(F126="","",IF(F126="Unknown","Confirm where it stands",IF(AND(OR(J126=TRUE,J126="Yes"),IFERROR(VALUE(MID(F126,FIND("(",F126)+1,FIND(")",F126,FIND("(",F126))-FIND("(",F126)-1))&gt;=2,FALSE)),"Expedited path: send to final approval",IFERROR(CHOOSE(VALUE(MID(F126,FIND("(",F126)+1,FIND(")",F126,FIND("(",F126))-FIND("(",F126)-1)),"Send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26" s="28" t="n"/>
      <c r="K126" s="34" t="n"/>
      <c r="L126" s="35">
        <f>IF(AND(OR(J126=TRUE,J126="Yes"),ISNUMBER(K126)),K126+30,"")</f>
        <v/>
      </c>
      <c r="M126" s="28" t="n"/>
      <c r="N126" s="26" t="n"/>
      <c r="O126" s="26" t="n"/>
      <c r="P126" s="30" t="n"/>
    </row>
    <row r="127">
      <c r="A127" s="26" t="n"/>
      <c r="B127" s="26" t="n"/>
      <c r="C127" s="26" t="n"/>
      <c r="D127" s="26" t="n"/>
      <c r="E127" s="34" t="n"/>
      <c r="F127" s="26" t="n"/>
      <c r="G127" s="34" t="n"/>
      <c r="H127" s="62">
        <f>IF(G127="","",IF(G127&gt;TODAY(),"Upcoming",TODAY()-G127))</f>
        <v/>
      </c>
      <c r="I127" s="8">
        <f>IF(F127="","",IF(F127="Unknown","Confirm where it stands",IF(AND(OR(J127=TRUE,J127="Yes"),IFERROR(VALUE(MID(F127,FIND("(",F127)+1,FIND(")",F127,FIND("(",F127))-FIND("(",F127)-1))&gt;=2,FALSE)),"Expedited path: send to final approval",IFERROR(CHOOSE(VALUE(MID(F127,FIND("(",F127)+1,FIND(")",F127,FIND("(",F127))-FIND("(",F127)-1)),"Send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27" s="28" t="n"/>
      <c r="K127" s="34" t="n"/>
      <c r="L127" s="35">
        <f>IF(AND(OR(J127=TRUE,J127="Yes"),ISNUMBER(K127)),K127+30,"")</f>
        <v/>
      </c>
      <c r="M127" s="28" t="n"/>
      <c r="N127" s="26" t="n"/>
      <c r="O127" s="26" t="n"/>
      <c r="P127" s="30" t="n"/>
    </row>
    <row r="128">
      <c r="A128" s="26" t="n"/>
      <c r="B128" s="26" t="n"/>
      <c r="C128" s="26" t="n"/>
      <c r="D128" s="26" t="n"/>
      <c r="E128" s="34" t="n"/>
      <c r="F128" s="26" t="n"/>
      <c r="G128" s="34" t="n"/>
      <c r="H128" s="62">
        <f>IF(G128="","",IF(G128&gt;TODAY(),"Upcoming",TODAY()-G128))</f>
        <v/>
      </c>
      <c r="I128" s="8">
        <f>IF(F128="","",IF(F128="Unknown","Confirm where it stands",IF(AND(OR(J128=TRUE,J128="Yes"),IFERROR(VALUE(MID(F128,FIND("(",F128)+1,FIND(")",F128,FIND("(",F128))-FIND("(",F128)-1))&gt;=2,FALSE)),"Expedited path: send to final approval",IFERROR(CHOOSE(VALUE(MID(F128,FIND("(",F128)+1,FIND(")",F128,FIND("(",F128))-FIND("(",F128)-1)),"Send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28" s="28" t="n"/>
      <c r="K128" s="34" t="n"/>
      <c r="L128" s="35">
        <f>IF(AND(OR(J128=TRUE,J128="Yes"),ISNUMBER(K128)),K128+30,"")</f>
        <v/>
      </c>
      <c r="M128" s="28" t="n"/>
      <c r="N128" s="26" t="n"/>
      <c r="O128" s="26" t="n"/>
      <c r="P128" s="30" t="n"/>
    </row>
    <row r="129">
      <c r="A129" s="26" t="n"/>
      <c r="B129" s="26" t="n"/>
      <c r="C129" s="26" t="n"/>
      <c r="D129" s="26" t="n"/>
      <c r="E129" s="34" t="n"/>
      <c r="F129" s="26" t="n"/>
      <c r="G129" s="34" t="n"/>
      <c r="H129" s="62">
        <f>IF(G129="","",IF(G129&gt;TODAY(),"Upcoming",TODAY()-G129))</f>
        <v/>
      </c>
      <c r="I129" s="8">
        <f>IF(F129="","",IF(F129="Unknown","Confirm where it stands",IF(AND(OR(J129=TRUE,J129="Yes"),IFERROR(VALUE(MID(F129,FIND("(",F129)+1,FIND(")",F129,FIND("(",F129))-FIND("(",F129)-1))&gt;=2,FALSE)),"Expedited path: send to final approval",IFERROR(CHOOSE(VALUE(MID(F129,FIND("(",F129)+1,FIND(")",F129,FIND("(",F129))-FIND("(",F129)-1)),"Send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29" s="28" t="n"/>
      <c r="K129" s="34" t="n"/>
      <c r="L129" s="35">
        <f>IF(AND(OR(J129=TRUE,J129="Yes"),ISNUMBER(K129)),K129+30,"")</f>
        <v/>
      </c>
      <c r="M129" s="28" t="n"/>
      <c r="N129" s="26" t="n"/>
      <c r="O129" s="26" t="n"/>
      <c r="P129" s="30" t="n"/>
    </row>
    <row r="130">
      <c r="A130" s="26" t="n"/>
      <c r="B130" s="26" t="n"/>
      <c r="C130" s="26" t="n"/>
      <c r="D130" s="26" t="n"/>
      <c r="E130" s="34" t="n"/>
      <c r="F130" s="26" t="n"/>
      <c r="G130" s="34" t="n"/>
      <c r="H130" s="62">
        <f>IF(G130="","",IF(G130&gt;TODAY(),"Upcoming",TODAY()-G130))</f>
        <v/>
      </c>
      <c r="I130" s="8">
        <f>IF(F130="","",IF(F130="Unknown","Confirm where it stands",IF(AND(OR(J130=TRUE,J130="Yes"),IFERROR(VALUE(MID(F130,FIND("(",F130)+1,FIND(")",F130,FIND("(",F130))-FIND("(",F130)-1))&gt;=2,FALSE)),"Expedited path: send to final approval",IFERROR(CHOOSE(VALUE(MID(F130,FIND("(",F130)+1,FIND(")",F130,FIND("(",F130))-FIND("(",F130)-1)),"Send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30" s="28" t="n"/>
      <c r="K130" s="34" t="n"/>
      <c r="L130" s="35">
        <f>IF(AND(OR(J130=TRUE,J130="Yes"),ISNUMBER(K130)),K130+30,"")</f>
        <v/>
      </c>
      <c r="M130" s="28" t="n"/>
      <c r="N130" s="26" t="n"/>
      <c r="O130" s="26" t="n"/>
      <c r="P130" s="30" t="n"/>
    </row>
    <row r="131">
      <c r="A131" s="26" t="n"/>
      <c r="B131" s="26" t="n"/>
      <c r="C131" s="26" t="n"/>
      <c r="D131" s="26" t="n"/>
      <c r="E131" s="34" t="n"/>
      <c r="F131" s="26" t="n"/>
      <c r="G131" s="34" t="n"/>
      <c r="H131" s="62">
        <f>IF(G131="","",IF(G131&gt;TODAY(),"Upcoming",TODAY()-G131))</f>
        <v/>
      </c>
      <c r="I131" s="8">
        <f>IF(F131="","",IF(F131="Unknown","Confirm where it stands",IF(AND(OR(J131=TRUE,J131="Yes"),IFERROR(VALUE(MID(F131,FIND("(",F131)+1,FIND(")",F131,FIND("(",F131))-FIND("(",F131)-1))&gt;=2,FALSE)),"Expedited path: send to final approval",IFERROR(CHOOSE(VALUE(MID(F131,FIND("(",F131)+1,FIND(")",F131,FIND("(",F131))-FIND("(",F131)-1)),"Send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31" s="28" t="n"/>
      <c r="K131" s="34" t="n"/>
      <c r="L131" s="35">
        <f>IF(AND(OR(J131=TRUE,J131="Yes"),ISNUMBER(K131)),K131+30,"")</f>
        <v/>
      </c>
      <c r="M131" s="28" t="n"/>
      <c r="N131" s="26" t="n"/>
      <c r="O131" s="26" t="n"/>
      <c r="P131" s="30" t="n"/>
    </row>
    <row r="132">
      <c r="A132" s="26" t="n"/>
      <c r="B132" s="26" t="n"/>
      <c r="C132" s="26" t="n"/>
      <c r="D132" s="26" t="n"/>
      <c r="E132" s="34" t="n"/>
      <c r="F132" s="26" t="n"/>
      <c r="G132" s="34" t="n"/>
      <c r="H132" s="62">
        <f>IF(G132="","",IF(G132&gt;TODAY(),"Upcoming",TODAY()-G132))</f>
        <v/>
      </c>
      <c r="I132" s="8">
        <f>IF(F132="","",IF(F132="Unknown","Confirm where it stands",IF(AND(OR(J132=TRUE,J132="Yes"),IFERROR(VALUE(MID(F132,FIND("(",F132)+1,FIND(")",F132,FIND("(",F132))-FIND("(",F132)-1))&gt;=2,FALSE)),"Expedited path: send to final approval",IFERROR(CHOOSE(VALUE(MID(F132,FIND("(",F132)+1,FIND(")",F132,FIND("(",F132))-FIND("(",F132)-1)),"Send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32" s="28" t="n"/>
      <c r="K132" s="34" t="n"/>
      <c r="L132" s="35">
        <f>IF(AND(OR(J132=TRUE,J132="Yes"),ISNUMBER(K132)),K132+30,"")</f>
        <v/>
      </c>
      <c r="M132" s="28" t="n"/>
      <c r="N132" s="26" t="n"/>
      <c r="O132" s="26" t="n"/>
      <c r="P132" s="30" t="n"/>
    </row>
    <row r="133">
      <c r="A133" s="26" t="n"/>
      <c r="B133" s="26" t="n"/>
      <c r="C133" s="26" t="n"/>
      <c r="D133" s="26" t="n"/>
      <c r="E133" s="34" t="n"/>
      <c r="F133" s="26" t="n"/>
      <c r="G133" s="34" t="n"/>
      <c r="H133" s="62">
        <f>IF(G133="","",IF(G133&gt;TODAY(),"Upcoming",TODAY()-G133))</f>
        <v/>
      </c>
      <c r="I133" s="8">
        <f>IF(F133="","",IF(F133="Unknown","Confirm where it stands",IF(AND(OR(J133=TRUE,J133="Yes"),IFERROR(VALUE(MID(F133,FIND("(",F133)+1,FIND(")",F133,FIND("(",F133))-FIND("(",F133)-1))&gt;=2,FALSE)),"Expedited path: send to final approval",IFERROR(CHOOSE(VALUE(MID(F133,FIND("(",F133)+1,FIND(")",F133,FIND("(",F133))-FIND("(",F133)-1)),"Send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33" s="28" t="n"/>
      <c r="K133" s="34" t="n"/>
      <c r="L133" s="35">
        <f>IF(AND(OR(J133=TRUE,J133="Yes"),ISNUMBER(K133)),K133+30,"")</f>
        <v/>
      </c>
      <c r="M133" s="28" t="n"/>
      <c r="N133" s="26" t="n"/>
      <c r="O133" s="26" t="n"/>
      <c r="P133" s="30" t="n"/>
    </row>
    <row r="134">
      <c r="A134" s="26" t="n"/>
      <c r="B134" s="26" t="n"/>
      <c r="C134" s="26" t="n"/>
      <c r="D134" s="26" t="n"/>
      <c r="E134" s="34" t="n"/>
      <c r="F134" s="26" t="n"/>
      <c r="G134" s="34" t="n"/>
      <c r="H134" s="62">
        <f>IF(G134="","",IF(G134&gt;TODAY(),"Upcoming",TODAY()-G134))</f>
        <v/>
      </c>
      <c r="I134" s="8">
        <f>IF(F134="","",IF(F134="Unknown","Confirm where it stands",IF(AND(OR(J134=TRUE,J134="Yes"),IFERROR(VALUE(MID(F134,FIND("(",F134)+1,FIND(")",F134,FIND("(",F134))-FIND("(",F134)-1))&gt;=2,FALSE)),"Expedited path: send to final approval",IFERROR(CHOOSE(VALUE(MID(F134,FIND("(",F134)+1,FIND(")",F134,FIND("(",F134))-FIND("(",F134)-1)),"Send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34" s="28" t="n"/>
      <c r="K134" s="34" t="n"/>
      <c r="L134" s="35">
        <f>IF(AND(OR(J134=TRUE,J134="Yes"),ISNUMBER(K134)),K134+30,"")</f>
        <v/>
      </c>
      <c r="M134" s="28" t="n"/>
      <c r="N134" s="26" t="n"/>
      <c r="O134" s="26" t="n"/>
      <c r="P134" s="30" t="n"/>
    </row>
    <row r="135">
      <c r="A135" s="26" t="n"/>
      <c r="B135" s="26" t="n"/>
      <c r="C135" s="26" t="n"/>
      <c r="D135" s="26" t="n"/>
      <c r="E135" s="34" t="n"/>
      <c r="F135" s="26" t="n"/>
      <c r="G135" s="34" t="n"/>
      <c r="H135" s="62">
        <f>IF(G135="","",IF(G135&gt;TODAY(),"Upcoming",TODAY()-G135))</f>
        <v/>
      </c>
      <c r="I135" s="8">
        <f>IF(F135="","",IF(F135="Unknown","Confirm where it stands",IF(AND(OR(J135=TRUE,J135="Yes"),IFERROR(VALUE(MID(F135,FIND("(",F135)+1,FIND(")",F135,FIND("(",F135))-FIND("(",F135)-1))&gt;=2,FALSE)),"Expedited path: send to final approval",IFERROR(CHOOSE(VALUE(MID(F135,FIND("(",F135)+1,FIND(")",F135,FIND("(",F135))-FIND("(",F135)-1)),"Send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35" s="28" t="n"/>
      <c r="K135" s="34" t="n"/>
      <c r="L135" s="35">
        <f>IF(AND(OR(J135=TRUE,J135="Yes"),ISNUMBER(K135)),K135+30,"")</f>
        <v/>
      </c>
      <c r="M135" s="28" t="n"/>
      <c r="N135" s="26" t="n"/>
      <c r="O135" s="26" t="n"/>
      <c r="P135" s="30" t="n"/>
    </row>
    <row r="136">
      <c r="A136" s="26" t="n"/>
      <c r="B136" s="26" t="n"/>
      <c r="C136" s="26" t="n"/>
      <c r="D136" s="26" t="n"/>
      <c r="E136" s="34" t="n"/>
      <c r="F136" s="26" t="n"/>
      <c r="G136" s="34" t="n"/>
      <c r="H136" s="62">
        <f>IF(G136="","",IF(G136&gt;TODAY(),"Upcoming",TODAY()-G136))</f>
        <v/>
      </c>
      <c r="I136" s="8">
        <f>IF(F136="","",IF(F136="Unknown","Confirm where it stands",IF(AND(OR(J136=TRUE,J136="Yes"),IFERROR(VALUE(MID(F136,FIND("(",F136)+1,FIND(")",F136,FIND("(",F136))-FIND("(",F136)-1))&gt;=2,FALSE)),"Expedited path: send to final approval",IFERROR(CHOOSE(VALUE(MID(F136,FIND("(",F136)+1,FIND(")",F136,FIND("(",F136))-FIND("(",F136)-1)),"Send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36" s="28" t="n"/>
      <c r="K136" s="34" t="n"/>
      <c r="L136" s="35">
        <f>IF(AND(OR(J136=TRUE,J136="Yes"),ISNUMBER(K136)),K136+30,"")</f>
        <v/>
      </c>
      <c r="M136" s="28" t="n"/>
      <c r="N136" s="26" t="n"/>
      <c r="O136" s="26" t="n"/>
      <c r="P136" s="30" t="n"/>
    </row>
    <row r="137">
      <c r="A137" s="26" t="n"/>
      <c r="B137" s="26" t="n"/>
      <c r="C137" s="26" t="n"/>
      <c r="D137" s="26" t="n"/>
      <c r="E137" s="34" t="n"/>
      <c r="F137" s="26" t="n"/>
      <c r="G137" s="34" t="n"/>
      <c r="H137" s="62">
        <f>IF(G137="","",IF(G137&gt;TODAY(),"Upcoming",TODAY()-G137))</f>
        <v/>
      </c>
      <c r="I137" s="8">
        <f>IF(F137="","",IF(F137="Unknown","Confirm where it stands",IF(AND(OR(J137=TRUE,J137="Yes"),IFERROR(VALUE(MID(F137,FIND("(",F137)+1,FIND(")",F137,FIND("(",F137))-FIND("(",F137)-1))&gt;=2,FALSE)),"Expedited path: send to final approval",IFERROR(CHOOSE(VALUE(MID(F137,FIND("(",F137)+1,FIND(")",F137,FIND("(",F137))-FIND("(",F137)-1)),"Send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37" s="28" t="n"/>
      <c r="K137" s="34" t="n"/>
      <c r="L137" s="35">
        <f>IF(AND(OR(J137=TRUE,J137="Yes"),ISNUMBER(K137)),K137+30,"")</f>
        <v/>
      </c>
      <c r="M137" s="28" t="n"/>
      <c r="N137" s="26" t="n"/>
      <c r="O137" s="26" t="n"/>
      <c r="P137" s="30" t="n"/>
    </row>
    <row r="138">
      <c r="A138" s="26" t="n"/>
      <c r="B138" s="26" t="n"/>
      <c r="C138" s="26" t="n"/>
      <c r="D138" s="26" t="n"/>
      <c r="E138" s="34" t="n"/>
      <c r="F138" s="26" t="n"/>
      <c r="G138" s="34" t="n"/>
      <c r="H138" s="62">
        <f>IF(G138="","",IF(G138&gt;TODAY(),"Upcoming",TODAY()-G138))</f>
        <v/>
      </c>
      <c r="I138" s="8">
        <f>IF(F138="","",IF(F138="Unknown","Confirm where it stands",IF(AND(OR(J138=TRUE,J138="Yes"),IFERROR(VALUE(MID(F138,FIND("(",F138)+1,FIND(")",F138,FIND("(",F138))-FIND("(",F138)-1))&gt;=2,FALSE)),"Expedited path: send to final approval",IFERROR(CHOOSE(VALUE(MID(F138,FIND("(",F138)+1,FIND(")",F138,FIND("(",F138))-FIND("(",F138)-1)),"Send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38" s="28" t="n"/>
      <c r="K138" s="34" t="n"/>
      <c r="L138" s="35">
        <f>IF(AND(OR(J138=TRUE,J138="Yes"),ISNUMBER(K138)),K138+30,"")</f>
        <v/>
      </c>
      <c r="M138" s="28" t="n"/>
      <c r="N138" s="26" t="n"/>
      <c r="O138" s="26" t="n"/>
      <c r="P138" s="30" t="n"/>
    </row>
    <row r="139">
      <c r="A139" s="26" t="n"/>
      <c r="B139" s="26" t="n"/>
      <c r="C139" s="26" t="n"/>
      <c r="D139" s="26" t="n"/>
      <c r="E139" s="34" t="n"/>
      <c r="F139" s="26" t="n"/>
      <c r="G139" s="34" t="n"/>
      <c r="H139" s="62">
        <f>IF(G139="","",IF(G139&gt;TODAY(),"Upcoming",TODAY()-G139))</f>
        <v/>
      </c>
      <c r="I139" s="8">
        <f>IF(F139="","",IF(F139="Unknown","Confirm where it stands",IF(AND(OR(J139=TRUE,J139="Yes"),IFERROR(VALUE(MID(F139,FIND("(",F139)+1,FIND(")",F139,FIND("(",F139))-FIND("(",F139)-1))&gt;=2,FALSE)),"Expedited path: send to final approval",IFERROR(CHOOSE(VALUE(MID(F139,FIND("(",F139)+1,FIND(")",F139,FIND("(",F139))-FIND("(",F139)-1)),"Send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39" s="28" t="n"/>
      <c r="K139" s="34" t="n"/>
      <c r="L139" s="35">
        <f>IF(AND(OR(J139=TRUE,J139="Yes"),ISNUMBER(K139)),K139+30,"")</f>
        <v/>
      </c>
      <c r="M139" s="28" t="n"/>
      <c r="N139" s="26" t="n"/>
      <c r="O139" s="26" t="n"/>
      <c r="P139" s="30" t="n"/>
    </row>
    <row r="140">
      <c r="A140" s="26" t="n"/>
      <c r="B140" s="26" t="n"/>
      <c r="C140" s="26" t="n"/>
      <c r="D140" s="26" t="n"/>
      <c r="E140" s="34" t="n"/>
      <c r="F140" s="26" t="n"/>
      <c r="G140" s="34" t="n"/>
      <c r="H140" s="62">
        <f>IF(G140="","",IF(G140&gt;TODAY(),"Upcoming",TODAY()-G140))</f>
        <v/>
      </c>
      <c r="I140" s="8">
        <f>IF(F140="","",IF(F140="Unknown","Confirm where it stands",IF(AND(OR(J140=TRUE,J140="Yes"),IFERROR(VALUE(MID(F140,FIND("(",F140)+1,FIND(")",F140,FIND("(",F140))-FIND("(",F140)-1))&gt;=2,FALSE)),"Expedited path: send to final approval",IFERROR(CHOOSE(VALUE(MID(F140,FIND("(",F140)+1,FIND(")",F140,FIND("(",F140))-FIND("(",F140)-1)),"Send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40" s="28" t="n"/>
      <c r="K140" s="34" t="n"/>
      <c r="L140" s="35">
        <f>IF(AND(OR(J140=TRUE,J140="Yes"),ISNUMBER(K140)),K140+30,"")</f>
        <v/>
      </c>
      <c r="M140" s="28" t="n"/>
      <c r="N140" s="26" t="n"/>
      <c r="O140" s="26" t="n"/>
      <c r="P140" s="30" t="n"/>
    </row>
    <row r="141">
      <c r="A141" s="26" t="n"/>
      <c r="B141" s="26" t="n"/>
      <c r="C141" s="26" t="n"/>
      <c r="D141" s="26" t="n"/>
      <c r="E141" s="34" t="n"/>
      <c r="F141" s="26" t="n"/>
      <c r="G141" s="34" t="n"/>
      <c r="H141" s="62">
        <f>IF(G141="","",IF(G141&gt;TODAY(),"Upcoming",TODAY()-G141))</f>
        <v/>
      </c>
      <c r="I141" s="8">
        <f>IF(F141="","",IF(F141="Unknown","Confirm where it stands",IF(AND(OR(J141=TRUE,J141="Yes"),IFERROR(VALUE(MID(F141,FIND("(",F141)+1,FIND(")",F141,FIND("(",F141))-FIND("(",F141)-1))&gt;=2,FALSE)),"Expedited path: send to final approval",IFERROR(CHOOSE(VALUE(MID(F141,FIND("(",F141)+1,FIND(")",F141,FIND("(",F141))-FIND("(",F141)-1)),"Send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41" s="28" t="n"/>
      <c r="K141" s="34" t="n"/>
      <c r="L141" s="35">
        <f>IF(AND(OR(J141=TRUE,J141="Yes"),ISNUMBER(K141)),K141+30,"")</f>
        <v/>
      </c>
      <c r="M141" s="28" t="n"/>
      <c r="N141" s="26" t="n"/>
      <c r="O141" s="26" t="n"/>
      <c r="P141" s="30" t="n"/>
    </row>
    <row r="142">
      <c r="A142" s="26" t="n"/>
      <c r="B142" s="26" t="n"/>
      <c r="C142" s="26" t="n"/>
      <c r="D142" s="26" t="n"/>
      <c r="E142" s="34" t="n"/>
      <c r="F142" s="26" t="n"/>
      <c r="G142" s="34" t="n"/>
      <c r="H142" s="62">
        <f>IF(G142="","",IF(G142&gt;TODAY(),"Upcoming",TODAY()-G142))</f>
        <v/>
      </c>
      <c r="I142" s="8">
        <f>IF(F142="","",IF(F142="Unknown","Confirm where it stands",IF(AND(OR(J142=TRUE,J142="Yes"),IFERROR(VALUE(MID(F142,FIND("(",F142)+1,FIND(")",F142,FIND("(",F142))-FIND("(",F142)-1))&gt;=2,FALSE)),"Expedited path: send to final approval",IFERROR(CHOOSE(VALUE(MID(F142,FIND("(",F142)+1,FIND(")",F142,FIND("(",F142))-FIND("(",F142)-1)),"Send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42" s="28" t="n"/>
      <c r="K142" s="34" t="n"/>
      <c r="L142" s="35">
        <f>IF(AND(OR(J142=TRUE,J142="Yes"),ISNUMBER(K142)),K142+30,"")</f>
        <v/>
      </c>
      <c r="M142" s="28" t="n"/>
      <c r="N142" s="26" t="n"/>
      <c r="O142" s="26" t="n"/>
      <c r="P142" s="30" t="n"/>
    </row>
    <row r="143">
      <c r="A143" s="26" t="n"/>
      <c r="B143" s="26" t="n"/>
      <c r="C143" s="26" t="n"/>
      <c r="D143" s="26" t="n"/>
      <c r="E143" s="34" t="n"/>
      <c r="F143" s="26" t="n"/>
      <c r="G143" s="34" t="n"/>
      <c r="H143" s="62">
        <f>IF(G143="","",IF(G143&gt;TODAY(),"Upcoming",TODAY()-G143))</f>
        <v/>
      </c>
      <c r="I143" s="8">
        <f>IF(F143="","",IF(F143="Unknown","Confirm where it stands",IF(AND(OR(J143=TRUE,J143="Yes"),IFERROR(VALUE(MID(F143,FIND("(",F143)+1,FIND(")",F143,FIND("(",F143))-FIND("(",F143)-1))&gt;=2,FALSE)),"Expedited path: send to final approval",IFERROR(CHOOSE(VALUE(MID(F143,FIND("(",F143)+1,FIND(")",F143,FIND("(",F143))-FIND("(",F143)-1)),"Send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43" s="28" t="n"/>
      <c r="K143" s="34" t="n"/>
      <c r="L143" s="35">
        <f>IF(AND(OR(J143=TRUE,J143="Yes"),ISNUMBER(K143)),K143+30,"")</f>
        <v/>
      </c>
      <c r="M143" s="28" t="n"/>
      <c r="N143" s="26" t="n"/>
      <c r="O143" s="26" t="n"/>
      <c r="P143" s="30" t="n"/>
    </row>
    <row r="144">
      <c r="A144" s="26" t="n"/>
      <c r="B144" s="26" t="n"/>
      <c r="C144" s="26" t="n"/>
      <c r="D144" s="26" t="n"/>
      <c r="E144" s="34" t="n"/>
      <c r="F144" s="26" t="n"/>
      <c r="G144" s="34" t="n"/>
      <c r="H144" s="62">
        <f>IF(G144="","",IF(G144&gt;TODAY(),"Upcoming",TODAY()-G144))</f>
        <v/>
      </c>
      <c r="I144" s="8">
        <f>IF(F144="","",IF(F144="Unknown","Confirm where it stands",IF(AND(OR(J144=TRUE,J144="Yes"),IFERROR(VALUE(MID(F144,FIND("(",F144)+1,FIND(")",F144,FIND("(",F144))-FIND("(",F144)-1))&gt;=2,FALSE)),"Expedited path: send to final approval",IFERROR(CHOOSE(VALUE(MID(F144,FIND("(",F144)+1,FIND(")",F144,FIND("(",F144))-FIND("(",F144)-1)),"Send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44" s="28" t="n"/>
      <c r="K144" s="34" t="n"/>
      <c r="L144" s="35">
        <f>IF(AND(OR(J144=TRUE,J144="Yes"),ISNUMBER(K144)),K144+30,"")</f>
        <v/>
      </c>
      <c r="M144" s="28" t="n"/>
      <c r="N144" s="26" t="n"/>
      <c r="O144" s="26" t="n"/>
      <c r="P144" s="30" t="n"/>
    </row>
    <row r="145">
      <c r="A145" s="26" t="n"/>
      <c r="B145" s="26" t="n"/>
      <c r="C145" s="26" t="n"/>
      <c r="D145" s="26" t="n"/>
      <c r="E145" s="34" t="n"/>
      <c r="F145" s="26" t="n"/>
      <c r="G145" s="34" t="n"/>
      <c r="H145" s="62">
        <f>IF(G145="","",IF(G145&gt;TODAY(),"Upcoming",TODAY()-G145))</f>
        <v/>
      </c>
      <c r="I145" s="8">
        <f>IF(F145="","",IF(F145="Unknown","Confirm where it stands",IF(AND(OR(J145=TRUE,J145="Yes"),IFERROR(VALUE(MID(F145,FIND("(",F145)+1,FIND(")",F145,FIND("(",F145))-FIND("(",F145)-1))&gt;=2,FALSE)),"Expedited path: send to final approval",IFERROR(CHOOSE(VALUE(MID(F145,FIND("(",F145)+1,FIND(")",F145,FIND("(",F145))-FIND("(",F145)-1)),"Send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45" s="28" t="n"/>
      <c r="K145" s="34" t="n"/>
      <c r="L145" s="35">
        <f>IF(AND(OR(J145=TRUE,J145="Yes"),ISNUMBER(K145)),K145+30,"")</f>
        <v/>
      </c>
      <c r="M145" s="28" t="n"/>
      <c r="N145" s="26" t="n"/>
      <c r="O145" s="26" t="n"/>
      <c r="P145" s="30" t="n"/>
    </row>
    <row r="146">
      <c r="A146" s="26" t="n"/>
      <c r="B146" s="26" t="n"/>
      <c r="C146" s="26" t="n"/>
      <c r="D146" s="26" t="n"/>
      <c r="E146" s="34" t="n"/>
      <c r="F146" s="26" t="n"/>
      <c r="G146" s="34" t="n"/>
      <c r="H146" s="62">
        <f>IF(G146="","",IF(G146&gt;TODAY(),"Upcoming",TODAY()-G146))</f>
        <v/>
      </c>
      <c r="I146" s="8">
        <f>IF(F146="","",IF(F146="Unknown","Confirm where it stands",IF(AND(OR(J146=TRUE,J146="Yes"),IFERROR(VALUE(MID(F146,FIND("(",F146)+1,FIND(")",F146,FIND("(",F146))-FIND("(",F146)-1))&gt;=2,FALSE)),"Expedited path: send to final approval",IFERROR(CHOOSE(VALUE(MID(F146,FIND("(",F146)+1,FIND(")",F146,FIND("(",F146))-FIND("(",F146)-1)),"Send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46" s="28" t="n"/>
      <c r="K146" s="34" t="n"/>
      <c r="L146" s="35">
        <f>IF(AND(OR(J146=TRUE,J146="Yes"),ISNUMBER(K146)),K146+30,"")</f>
        <v/>
      </c>
      <c r="M146" s="28" t="n"/>
      <c r="N146" s="26" t="n"/>
      <c r="O146" s="26" t="n"/>
      <c r="P146" s="30" t="n"/>
    </row>
    <row r="147">
      <c r="A147" s="26" t="n"/>
      <c r="B147" s="26" t="n"/>
      <c r="C147" s="26" t="n"/>
      <c r="D147" s="26" t="n"/>
      <c r="E147" s="34" t="n"/>
      <c r="F147" s="26" t="n"/>
      <c r="G147" s="34" t="n"/>
      <c r="H147" s="62">
        <f>IF(G147="","",IF(G147&gt;TODAY(),"Upcoming",TODAY()-G147))</f>
        <v/>
      </c>
      <c r="I147" s="8">
        <f>IF(F147="","",IF(F147="Unknown","Confirm where it stands",IF(AND(OR(J147=TRUE,J147="Yes"),IFERROR(VALUE(MID(F147,FIND("(",F147)+1,FIND(")",F147,FIND("(",F147))-FIND("(",F147)-1))&gt;=2,FALSE)),"Expedited path: send to final approval",IFERROR(CHOOSE(VALUE(MID(F147,FIND("(",F147)+1,FIND(")",F147,FIND("(",F147))-FIND("(",F147)-1)),"Send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47" s="28" t="n"/>
      <c r="K147" s="34" t="n"/>
      <c r="L147" s="35">
        <f>IF(AND(OR(J147=TRUE,J147="Yes"),ISNUMBER(K147)),K147+30,"")</f>
        <v/>
      </c>
      <c r="M147" s="28" t="n"/>
      <c r="N147" s="26" t="n"/>
      <c r="O147" s="26" t="n"/>
      <c r="P147" s="30" t="n"/>
    </row>
    <row r="148">
      <c r="A148" s="26" t="n"/>
      <c r="B148" s="26" t="n"/>
      <c r="C148" s="26" t="n"/>
      <c r="D148" s="26" t="n"/>
      <c r="E148" s="34" t="n"/>
      <c r="F148" s="26" t="n"/>
      <c r="G148" s="34" t="n"/>
      <c r="H148" s="62">
        <f>IF(G148="","",IF(G148&gt;TODAY(),"Upcoming",TODAY()-G148))</f>
        <v/>
      </c>
      <c r="I148" s="8">
        <f>IF(F148="","",IF(F148="Unknown","Confirm where it stands",IF(AND(OR(J148=TRUE,J148="Yes"),IFERROR(VALUE(MID(F148,FIND("(",F148)+1,FIND(")",F148,FIND("(",F148))-FIND("(",F148)-1))&gt;=2,FALSE)),"Expedited path: send to final approval",IFERROR(CHOOSE(VALUE(MID(F148,FIND("(",F148)+1,FIND(")",F148,FIND("(",F148))-FIND("(",F148)-1)),"Send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48" s="28" t="n"/>
      <c r="K148" s="34" t="n"/>
      <c r="L148" s="35">
        <f>IF(AND(OR(J148=TRUE,J148="Yes"),ISNUMBER(K148)),K148+30,"")</f>
        <v/>
      </c>
      <c r="M148" s="28" t="n"/>
      <c r="N148" s="26" t="n"/>
      <c r="O148" s="26" t="n"/>
      <c r="P148" s="30" t="n"/>
    </row>
    <row r="149">
      <c r="A149" s="26" t="n"/>
      <c r="B149" s="26" t="n"/>
      <c r="C149" s="26" t="n"/>
      <c r="D149" s="26" t="n"/>
      <c r="E149" s="34" t="n"/>
      <c r="F149" s="26" t="n"/>
      <c r="G149" s="34" t="n"/>
      <c r="H149" s="62">
        <f>IF(G149="","",IF(G149&gt;TODAY(),"Upcoming",TODAY()-G149))</f>
        <v/>
      </c>
      <c r="I149" s="8">
        <f>IF(F149="","",IF(F149="Unknown","Confirm where it stands",IF(AND(OR(J149=TRUE,J149="Yes"),IFERROR(VALUE(MID(F149,FIND("(",F149)+1,FIND(")",F149,FIND("(",F149))-FIND("(",F149)-1))&gt;=2,FALSE)),"Expedited path: send to final approval",IFERROR(CHOOSE(VALUE(MID(F149,FIND("(",F149)+1,FIND(")",F149,FIND("(",F149))-FIND("(",F149)-1)),"Send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49" s="28" t="n"/>
      <c r="K149" s="34" t="n"/>
      <c r="L149" s="35">
        <f>IF(AND(OR(J149=TRUE,J149="Yes"),ISNUMBER(K149)),K149+30,"")</f>
        <v/>
      </c>
      <c r="M149" s="28" t="n"/>
      <c r="N149" s="26" t="n"/>
      <c r="O149" s="26" t="n"/>
      <c r="P149" s="30" t="n"/>
    </row>
    <row r="150">
      <c r="A150" s="26" t="n"/>
      <c r="B150" s="26" t="n"/>
      <c r="C150" s="26" t="n"/>
      <c r="D150" s="26" t="n"/>
      <c r="E150" s="34" t="n"/>
      <c r="F150" s="26" t="n"/>
      <c r="G150" s="34" t="n"/>
      <c r="H150" s="62">
        <f>IF(G150="","",IF(G150&gt;TODAY(),"Upcoming",TODAY()-G150))</f>
        <v/>
      </c>
      <c r="I150" s="8">
        <f>IF(F150="","",IF(F150="Unknown","Confirm where it stands",IF(AND(OR(J150=TRUE,J150="Yes"),IFERROR(VALUE(MID(F150,FIND("(",F150)+1,FIND(")",F150,FIND("(",F150))-FIND("(",F150)-1))&gt;=2,FALSE)),"Expedited path: send to final approval",IFERROR(CHOOSE(VALUE(MID(F150,FIND("(",F150)+1,FIND(")",F150,FIND("(",F150))-FIND("(",F150)-1)),"Send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50" s="28" t="n"/>
      <c r="K150" s="34" t="n"/>
      <c r="L150" s="35">
        <f>IF(AND(OR(J150=TRUE,J150="Yes"),ISNUMBER(K150)),K150+30,"")</f>
        <v/>
      </c>
      <c r="M150" s="28" t="n"/>
      <c r="N150" s="26" t="n"/>
      <c r="O150" s="26" t="n"/>
      <c r="P150" s="30" t="n"/>
    </row>
    <row r="151">
      <c r="A151" s="26" t="n"/>
      <c r="B151" s="26" t="n"/>
      <c r="C151" s="26" t="n"/>
      <c r="D151" s="26" t="n"/>
      <c r="E151" s="34" t="n"/>
      <c r="F151" s="26" t="n"/>
      <c r="G151" s="34" t="n"/>
      <c r="H151" s="62">
        <f>IF(G151="","",IF(G151&gt;TODAY(),"Upcoming",TODAY()-G151))</f>
        <v/>
      </c>
      <c r="I151" s="8">
        <f>IF(F151="","",IF(F151="Unknown","Confirm where it stands",IF(AND(OR(J151=TRUE,J151="Yes"),IFERROR(VALUE(MID(F151,FIND("(",F151)+1,FIND(")",F151,FIND("(",F151))-FIND("(",F151)-1))&gt;=2,FALSE)),"Expedited path: send to final approval",IFERROR(CHOOSE(VALUE(MID(F151,FIND("(",F151)+1,FIND(")",F151,FIND("(",F151))-FIND("(",F151)-1)),"Send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51" s="28" t="n"/>
      <c r="K151" s="34" t="n"/>
      <c r="L151" s="35">
        <f>IF(AND(OR(J151=TRUE,J151="Yes"),ISNUMBER(K151)),K151+30,"")</f>
        <v/>
      </c>
      <c r="M151" s="28" t="n"/>
      <c r="N151" s="26" t="n"/>
      <c r="O151" s="26" t="n"/>
      <c r="P151" s="30" t="n"/>
    </row>
    <row r="152">
      <c r="A152" s="26" t="n"/>
      <c r="B152" s="26" t="n"/>
      <c r="C152" s="26" t="n"/>
      <c r="D152" s="26" t="n"/>
      <c r="E152" s="34" t="n"/>
      <c r="F152" s="26" t="n"/>
      <c r="G152" s="34" t="n"/>
      <c r="H152" s="62">
        <f>IF(G152="","",IF(G152&gt;TODAY(),"Upcoming",TODAY()-G152))</f>
        <v/>
      </c>
      <c r="I152" s="8">
        <f>IF(F152="","",IF(F152="Unknown","Confirm where it stands",IF(AND(OR(J152=TRUE,J152="Yes"),IFERROR(VALUE(MID(F152,FIND("(",F152)+1,FIND(")",F152,FIND("(",F152))-FIND("(",F152)-1))&gt;=2,FALSE)),"Expedited path: send to final approval",IFERROR(CHOOSE(VALUE(MID(F152,FIND("(",F152)+1,FIND(")",F152,FIND("(",F152))-FIND("(",F152)-1)),"Send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52" s="28" t="n"/>
      <c r="K152" s="34" t="n"/>
      <c r="L152" s="35">
        <f>IF(AND(OR(J152=TRUE,J152="Yes"),ISNUMBER(K152)),K152+30,"")</f>
        <v/>
      </c>
      <c r="M152" s="28" t="n"/>
      <c r="N152" s="26" t="n"/>
      <c r="O152" s="26" t="n"/>
      <c r="P152" s="30" t="n"/>
    </row>
    <row r="153">
      <c r="A153" s="26" t="n"/>
      <c r="B153" s="26" t="n"/>
      <c r="C153" s="26" t="n"/>
      <c r="D153" s="26" t="n"/>
      <c r="E153" s="34" t="n"/>
      <c r="F153" s="26" t="n"/>
      <c r="G153" s="34" t="n"/>
      <c r="H153" s="62">
        <f>IF(G153="","",IF(G153&gt;TODAY(),"Upcoming",TODAY()-G153))</f>
        <v/>
      </c>
      <c r="I153" s="8">
        <f>IF(F153="","",IF(F153="Unknown","Confirm where it stands",IF(AND(OR(J153=TRUE,J153="Yes"),IFERROR(VALUE(MID(F153,FIND("(",F153)+1,FIND(")",F153,FIND("(",F153))-FIND("(",F153)-1))&gt;=2,FALSE)),"Expedited path: send to final approval",IFERROR(CHOOSE(VALUE(MID(F153,FIND("(",F153)+1,FIND(")",F153,FIND("(",F153))-FIND("(",F153)-1)),"Send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53" s="28" t="n"/>
      <c r="K153" s="34" t="n"/>
      <c r="L153" s="35">
        <f>IF(AND(OR(J153=TRUE,J153="Yes"),ISNUMBER(K153)),K153+30,"")</f>
        <v/>
      </c>
      <c r="M153" s="28" t="n"/>
      <c r="N153" s="26" t="n"/>
      <c r="O153" s="26" t="n"/>
      <c r="P153" s="30" t="n"/>
    </row>
    <row r="154">
      <c r="A154" s="26" t="n"/>
      <c r="B154" s="26" t="n"/>
      <c r="C154" s="26" t="n"/>
      <c r="D154" s="26" t="n"/>
      <c r="E154" s="34" t="n"/>
      <c r="F154" s="26" t="n"/>
      <c r="G154" s="34" t="n"/>
      <c r="H154" s="62">
        <f>IF(G154="","",IF(G154&gt;TODAY(),"Upcoming",TODAY()-G154))</f>
        <v/>
      </c>
      <c r="I154" s="8">
        <f>IF(F154="","",IF(F154="Unknown","Confirm where it stands",IF(AND(OR(J154=TRUE,J154="Yes"),IFERROR(VALUE(MID(F154,FIND("(",F154)+1,FIND(")",F154,FIND("(",F154))-FIND("(",F154)-1))&gt;=2,FALSE)),"Expedited path: send to final approval",IFERROR(CHOOSE(VALUE(MID(F154,FIND("(",F154)+1,FIND(")",F154,FIND("(",F154))-FIND("(",F154)-1)),"Send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54" s="28" t="n"/>
      <c r="K154" s="34" t="n"/>
      <c r="L154" s="35">
        <f>IF(AND(OR(J154=TRUE,J154="Yes"),ISNUMBER(K154)),K154+30,"")</f>
        <v/>
      </c>
      <c r="M154" s="28" t="n"/>
      <c r="N154" s="26" t="n"/>
      <c r="O154" s="26" t="n"/>
      <c r="P154" s="30" t="n"/>
    </row>
    <row r="155">
      <c r="A155" s="26" t="n"/>
      <c r="B155" s="26" t="n"/>
      <c r="C155" s="26" t="n"/>
      <c r="D155" s="26" t="n"/>
      <c r="E155" s="34" t="n"/>
      <c r="F155" s="26" t="n"/>
      <c r="G155" s="34" t="n"/>
      <c r="H155" s="62">
        <f>IF(G155="","",IF(G155&gt;TODAY(),"Upcoming",TODAY()-G155))</f>
        <v/>
      </c>
      <c r="I155" s="8">
        <f>IF(F155="","",IF(F155="Unknown","Confirm where it stands",IF(AND(OR(J155=TRUE,J155="Yes"),IFERROR(VALUE(MID(F155,FIND("(",F155)+1,FIND(")",F155,FIND("(",F155))-FIND("(",F155)-1))&gt;=2,FALSE)),"Expedited path: send to final approval",IFERROR(CHOOSE(VALUE(MID(F155,FIND("(",F155)+1,FIND(")",F155,FIND("(",F155))-FIND("(",F155)-1)),"Send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55" s="28" t="n"/>
      <c r="K155" s="34" t="n"/>
      <c r="L155" s="35">
        <f>IF(AND(OR(J155=TRUE,J155="Yes"),ISNUMBER(K155)),K155+30,"")</f>
        <v/>
      </c>
      <c r="M155" s="28" t="n"/>
      <c r="N155" s="26" t="n"/>
      <c r="O155" s="26" t="n"/>
      <c r="P155" s="30" t="n"/>
    </row>
    <row r="156">
      <c r="A156" s="26" t="n"/>
      <c r="B156" s="26" t="n"/>
      <c r="C156" s="26" t="n"/>
      <c r="D156" s="26" t="n"/>
      <c r="E156" s="34" t="n"/>
      <c r="F156" s="26" t="n"/>
      <c r="G156" s="34" t="n"/>
      <c r="H156" s="62">
        <f>IF(G156="","",IF(G156&gt;TODAY(),"Upcoming",TODAY()-G156))</f>
        <v/>
      </c>
      <c r="I156" s="8">
        <f>IF(F156="","",IF(F156="Unknown","Confirm where it stands",IF(AND(OR(J156=TRUE,J156="Yes"),IFERROR(VALUE(MID(F156,FIND("(",F156)+1,FIND(")",F156,FIND("(",F156))-FIND("(",F156)-1))&gt;=2,FALSE)),"Expedited path: send to final approval",IFERROR(CHOOSE(VALUE(MID(F156,FIND("(",F156)+1,FIND(")",F156,FIND("(",F156))-FIND("(",F156)-1)),"Send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56" s="28" t="n"/>
      <c r="K156" s="34" t="n"/>
      <c r="L156" s="35">
        <f>IF(AND(OR(J156=TRUE,J156="Yes"),ISNUMBER(K156)),K156+30,"")</f>
        <v/>
      </c>
      <c r="M156" s="28" t="n"/>
      <c r="N156" s="26" t="n"/>
      <c r="O156" s="26" t="n"/>
      <c r="P156" s="30" t="n"/>
    </row>
    <row r="157">
      <c r="A157" s="26" t="n"/>
      <c r="B157" s="26" t="n"/>
      <c r="C157" s="26" t="n"/>
      <c r="D157" s="26" t="n"/>
      <c r="E157" s="34" t="n"/>
      <c r="F157" s="26" t="n"/>
      <c r="G157" s="34" t="n"/>
      <c r="H157" s="62">
        <f>IF(G157="","",IF(G157&gt;TODAY(),"Upcoming",TODAY()-G157))</f>
        <v/>
      </c>
      <c r="I157" s="8">
        <f>IF(F157="","",IF(F157="Unknown","Confirm where it stands",IF(AND(OR(J157=TRUE,J157="Yes"),IFERROR(VALUE(MID(F157,FIND("(",F157)+1,FIND(")",F157,FIND("(",F157))-FIND("(",F157)-1))&gt;=2,FALSE)),"Expedited path: send to final approval",IFERROR(CHOOSE(VALUE(MID(F157,FIND("(",F157)+1,FIND(")",F157,FIND("(",F157))-FIND("(",F157)-1)),"Send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57" s="28" t="n"/>
      <c r="K157" s="34" t="n"/>
      <c r="L157" s="35">
        <f>IF(AND(OR(J157=TRUE,J157="Yes"),ISNUMBER(K157)),K157+30,"")</f>
        <v/>
      </c>
      <c r="M157" s="28" t="n"/>
      <c r="N157" s="26" t="n"/>
      <c r="O157" s="26" t="n"/>
      <c r="P157" s="30" t="n"/>
    </row>
    <row r="158">
      <c r="A158" s="26" t="n"/>
      <c r="B158" s="26" t="n"/>
      <c r="C158" s="26" t="n"/>
      <c r="D158" s="26" t="n"/>
      <c r="E158" s="34" t="n"/>
      <c r="F158" s="26" t="n"/>
      <c r="G158" s="34" t="n"/>
      <c r="H158" s="62">
        <f>IF(G158="","",IF(G158&gt;TODAY(),"Upcoming",TODAY()-G158))</f>
        <v/>
      </c>
      <c r="I158" s="8">
        <f>IF(F158="","",IF(F158="Unknown","Confirm where it stands",IF(AND(OR(J158=TRUE,J158="Yes"),IFERROR(VALUE(MID(F158,FIND("(",F158)+1,FIND(")",F158,FIND("(",F158))-FIND("(",F158)-1))&gt;=2,FALSE)),"Expedited path: send to final approval",IFERROR(CHOOSE(VALUE(MID(F158,FIND("(",F158)+1,FIND(")",F158,FIND("(",F158))-FIND("(",F158)-1)),"Send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58" s="28" t="n"/>
      <c r="K158" s="34" t="n"/>
      <c r="L158" s="35">
        <f>IF(AND(OR(J158=TRUE,J158="Yes"),ISNUMBER(K158)),K158+30,"")</f>
        <v/>
      </c>
      <c r="M158" s="28" t="n"/>
      <c r="N158" s="26" t="n"/>
      <c r="O158" s="26" t="n"/>
      <c r="P158" s="30" t="n"/>
    </row>
    <row r="159">
      <c r="A159" s="26" t="n"/>
      <c r="B159" s="26" t="n"/>
      <c r="C159" s="26" t="n"/>
      <c r="D159" s="26" t="n"/>
      <c r="E159" s="34" t="n"/>
      <c r="F159" s="26" t="n"/>
      <c r="G159" s="34" t="n"/>
      <c r="H159" s="62">
        <f>IF(G159="","",IF(G159&gt;TODAY(),"Upcoming",TODAY()-G159))</f>
        <v/>
      </c>
      <c r="I159" s="8">
        <f>IF(F159="","",IF(F159="Unknown","Confirm where it stands",IF(AND(OR(J159=TRUE,J159="Yes"),IFERROR(VALUE(MID(F159,FIND("(",F159)+1,FIND(")",F159,FIND("(",F159))-FIND("(",F159)-1))&gt;=2,FALSE)),"Expedited path: send to final approval",IFERROR(CHOOSE(VALUE(MID(F159,FIND("(",F159)+1,FIND(")",F159,FIND("(",F159))-FIND("(",F159)-1)),"Send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59" s="28" t="n"/>
      <c r="K159" s="34" t="n"/>
      <c r="L159" s="35">
        <f>IF(AND(OR(J159=TRUE,J159="Yes"),ISNUMBER(K159)),K159+30,"")</f>
        <v/>
      </c>
      <c r="M159" s="28" t="n"/>
      <c r="N159" s="26" t="n"/>
      <c r="O159" s="26" t="n"/>
      <c r="P159" s="30" t="n"/>
    </row>
    <row r="160">
      <c r="A160" s="26" t="n"/>
      <c r="B160" s="26" t="n"/>
      <c r="C160" s="26" t="n"/>
      <c r="D160" s="26" t="n"/>
      <c r="E160" s="34" t="n"/>
      <c r="F160" s="26" t="n"/>
      <c r="G160" s="34" t="n"/>
      <c r="H160" s="62">
        <f>IF(G160="","",IF(G160&gt;TODAY(),"Upcoming",TODAY()-G160))</f>
        <v/>
      </c>
      <c r="I160" s="8">
        <f>IF(F160="","",IF(F160="Unknown","Confirm where it stands",IF(AND(OR(J160=TRUE,J160="Yes"),IFERROR(VALUE(MID(F160,FIND("(",F160)+1,FIND(")",F160,FIND("(",F160))-FIND("(",F160)-1))&gt;=2,FALSE)),"Expedited path: send to final approval",IFERROR(CHOOSE(VALUE(MID(F160,FIND("(",F160)+1,FIND(")",F160,FIND("(",F160))-FIND("(",F160)-1)),"Send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60" s="28" t="n"/>
      <c r="K160" s="34" t="n"/>
      <c r="L160" s="35">
        <f>IF(AND(OR(J160=TRUE,J160="Yes"),ISNUMBER(K160)),K160+30,"")</f>
        <v/>
      </c>
      <c r="M160" s="28" t="n"/>
      <c r="N160" s="26" t="n"/>
      <c r="O160" s="26" t="n"/>
      <c r="P160" s="30" t="n"/>
    </row>
    <row r="161">
      <c r="A161" s="26" t="n"/>
      <c r="B161" s="26" t="n"/>
      <c r="C161" s="26" t="n"/>
      <c r="D161" s="26" t="n"/>
      <c r="E161" s="34" t="n"/>
      <c r="F161" s="26" t="n"/>
      <c r="G161" s="34" t="n"/>
      <c r="H161" s="62">
        <f>IF(G161="","",IF(G161&gt;TODAY(),"Upcoming",TODAY()-G161))</f>
        <v/>
      </c>
      <c r="I161" s="8">
        <f>IF(F161="","",IF(F161="Unknown","Confirm where it stands",IF(AND(OR(J161=TRUE,J161="Yes"),IFERROR(VALUE(MID(F161,FIND("(",F161)+1,FIND(")",F161,FIND("(",F161))-FIND("(",F161)-1))&gt;=2,FALSE)),"Expedited path: send to final approval",IFERROR(CHOOSE(VALUE(MID(F161,FIND("(",F161)+1,FIND(")",F161,FIND("(",F161))-FIND("(",F161)-1)),"Send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61" s="28" t="n"/>
      <c r="K161" s="34" t="n"/>
      <c r="L161" s="35">
        <f>IF(AND(OR(J161=TRUE,J161="Yes"),ISNUMBER(K161)),K161+30,"")</f>
        <v/>
      </c>
      <c r="M161" s="28" t="n"/>
      <c r="N161" s="26" t="n"/>
      <c r="O161" s="26" t="n"/>
      <c r="P161" s="30" t="n"/>
    </row>
    <row r="162">
      <c r="A162" s="26" t="n"/>
      <c r="B162" s="26" t="n"/>
      <c r="C162" s="26" t="n"/>
      <c r="D162" s="26" t="n"/>
      <c r="E162" s="34" t="n"/>
      <c r="F162" s="26" t="n"/>
      <c r="G162" s="34" t="n"/>
      <c r="H162" s="62">
        <f>IF(G162="","",IF(G162&gt;TODAY(),"Upcoming",TODAY()-G162))</f>
        <v/>
      </c>
      <c r="I162" s="8">
        <f>IF(F162="","",IF(F162="Unknown","Confirm where it stands",IF(AND(OR(J162=TRUE,J162="Yes"),IFERROR(VALUE(MID(F162,FIND("(",F162)+1,FIND(")",F162,FIND("(",F162))-FIND("(",F162)-1))&gt;=2,FALSE)),"Expedited path: send to final approval",IFERROR(CHOOSE(VALUE(MID(F162,FIND("(",F162)+1,FIND(")",F162,FIND("(",F162))-FIND("(",F162)-1)),"Send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62" s="28" t="n"/>
      <c r="K162" s="34" t="n"/>
      <c r="L162" s="35">
        <f>IF(AND(OR(J162=TRUE,J162="Yes"),ISNUMBER(K162)),K162+30,"")</f>
        <v/>
      </c>
      <c r="M162" s="28" t="n"/>
      <c r="N162" s="26" t="n"/>
      <c r="O162" s="26" t="n"/>
      <c r="P162" s="30" t="n"/>
    </row>
    <row r="163">
      <c r="A163" s="26" t="n"/>
      <c r="B163" s="26" t="n"/>
      <c r="C163" s="26" t="n"/>
      <c r="D163" s="26" t="n"/>
      <c r="E163" s="34" t="n"/>
      <c r="F163" s="26" t="n"/>
      <c r="G163" s="34" t="n"/>
      <c r="H163" s="62">
        <f>IF(G163="","",IF(G163&gt;TODAY(),"Upcoming",TODAY()-G163))</f>
        <v/>
      </c>
      <c r="I163" s="8">
        <f>IF(F163="","",IF(F163="Unknown","Confirm where it stands",IF(AND(OR(J163=TRUE,J163="Yes"),IFERROR(VALUE(MID(F163,FIND("(",F163)+1,FIND(")",F163,FIND("(",F163))-FIND("(",F163)-1))&gt;=2,FALSE)),"Expedited path: send to final approval",IFERROR(CHOOSE(VALUE(MID(F163,FIND("(",F163)+1,FIND(")",F163,FIND("(",F163))-FIND("(",F163)-1)),"Send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63" s="28" t="n"/>
      <c r="K163" s="34" t="n"/>
      <c r="L163" s="35">
        <f>IF(AND(OR(J163=TRUE,J163="Yes"),ISNUMBER(K163)),K163+30,"")</f>
        <v/>
      </c>
      <c r="M163" s="28" t="n"/>
      <c r="N163" s="26" t="n"/>
      <c r="O163" s="26" t="n"/>
      <c r="P163" s="30" t="n"/>
    </row>
    <row r="164">
      <c r="A164" s="26" t="n"/>
      <c r="B164" s="26" t="n"/>
      <c r="C164" s="26" t="n"/>
      <c r="D164" s="26" t="n"/>
      <c r="E164" s="34" t="n"/>
      <c r="F164" s="26" t="n"/>
      <c r="G164" s="34" t="n"/>
      <c r="H164" s="62">
        <f>IF(G164="","",IF(G164&gt;TODAY(),"Upcoming",TODAY()-G164))</f>
        <v/>
      </c>
      <c r="I164" s="8">
        <f>IF(F164="","",IF(F164="Unknown","Confirm where it stands",IF(AND(OR(J164=TRUE,J164="Yes"),IFERROR(VALUE(MID(F164,FIND("(",F164)+1,FIND(")",F164,FIND("(",F164))-FIND("(",F164)-1))&gt;=2,FALSE)),"Expedited path: send to final approval",IFERROR(CHOOSE(VALUE(MID(F164,FIND("(",F164)+1,FIND(")",F164,FIND("(",F164))-FIND("(",F164)-1)),"Send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64" s="28" t="n"/>
      <c r="K164" s="34" t="n"/>
      <c r="L164" s="35">
        <f>IF(AND(OR(J164=TRUE,J164="Yes"),ISNUMBER(K164)),K164+30,"")</f>
        <v/>
      </c>
      <c r="M164" s="28" t="n"/>
      <c r="N164" s="26" t="n"/>
      <c r="O164" s="26" t="n"/>
      <c r="P164" s="30" t="n"/>
    </row>
    <row r="165">
      <c r="A165" s="26" t="n"/>
      <c r="B165" s="26" t="n"/>
      <c r="C165" s="26" t="n"/>
      <c r="D165" s="26" t="n"/>
      <c r="E165" s="34" t="n"/>
      <c r="F165" s="26" t="n"/>
      <c r="G165" s="34" t="n"/>
      <c r="H165" s="62">
        <f>IF(G165="","",IF(G165&gt;TODAY(),"Upcoming",TODAY()-G165))</f>
        <v/>
      </c>
      <c r="I165" s="8">
        <f>IF(F165="","",IF(F165="Unknown","Confirm where it stands",IF(AND(OR(J165=TRUE,J165="Yes"),IFERROR(VALUE(MID(F165,FIND("(",F165)+1,FIND(")",F165,FIND("(",F165))-FIND("(",F165)-1))&gt;=2,FALSE)),"Expedited path: send to final approval",IFERROR(CHOOSE(VALUE(MID(F165,FIND("(",F165)+1,FIND(")",F165,FIND("(",F165))-FIND("(",F165)-1)),"Send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65" s="28" t="n"/>
      <c r="K165" s="34" t="n"/>
      <c r="L165" s="35">
        <f>IF(AND(OR(J165=TRUE,J165="Yes"),ISNUMBER(K165)),K165+30,"")</f>
        <v/>
      </c>
      <c r="M165" s="28" t="n"/>
      <c r="N165" s="26" t="n"/>
      <c r="O165" s="26" t="n"/>
      <c r="P165" s="30" t="n"/>
    </row>
    <row r="166">
      <c r="A166" s="26" t="n"/>
      <c r="B166" s="26" t="n"/>
      <c r="C166" s="26" t="n"/>
      <c r="D166" s="26" t="n"/>
      <c r="E166" s="34" t="n"/>
      <c r="F166" s="26" t="n"/>
      <c r="G166" s="34" t="n"/>
      <c r="H166" s="62">
        <f>IF(G166="","",IF(G166&gt;TODAY(),"Upcoming",TODAY()-G166))</f>
        <v/>
      </c>
      <c r="I166" s="8">
        <f>IF(F166="","",IF(F166="Unknown","Confirm where it stands",IF(AND(OR(J166=TRUE,J166="Yes"),IFERROR(VALUE(MID(F166,FIND("(",F166)+1,FIND(")",F166,FIND("(",F166))-FIND("(",F166)-1))&gt;=2,FALSE)),"Expedited path: send to final approval",IFERROR(CHOOSE(VALUE(MID(F166,FIND("(",F166)+1,FIND(")",F166,FIND("(",F166))-FIND("(",F166)-1)),"Send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66" s="28" t="n"/>
      <c r="K166" s="34" t="n"/>
      <c r="L166" s="35">
        <f>IF(AND(OR(J166=TRUE,J166="Yes"),ISNUMBER(K166)),K166+30,"")</f>
        <v/>
      </c>
      <c r="M166" s="28" t="n"/>
      <c r="N166" s="26" t="n"/>
      <c r="O166" s="26" t="n"/>
      <c r="P166" s="30" t="n"/>
    </row>
    <row r="167">
      <c r="A167" s="26" t="n"/>
      <c r="B167" s="26" t="n"/>
      <c r="C167" s="26" t="n"/>
      <c r="D167" s="26" t="n"/>
      <c r="E167" s="34" t="n"/>
      <c r="F167" s="26" t="n"/>
      <c r="G167" s="34" t="n"/>
      <c r="H167" s="62">
        <f>IF(G167="","",IF(G167&gt;TODAY(),"Upcoming",TODAY()-G167))</f>
        <v/>
      </c>
      <c r="I167" s="8">
        <f>IF(F167="","",IF(F167="Unknown","Confirm where it stands",IF(AND(OR(J167=TRUE,J167="Yes"),IFERROR(VALUE(MID(F167,FIND("(",F167)+1,FIND(")",F167,FIND("(",F167))-FIND("(",F167)-1))&gt;=2,FALSE)),"Expedited path: send to final approval",IFERROR(CHOOSE(VALUE(MID(F167,FIND("(",F167)+1,FIND(")",F167,FIND("(",F167))-FIND("(",F167)-1)),"Send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67" s="28" t="n"/>
      <c r="K167" s="34" t="n"/>
      <c r="L167" s="35">
        <f>IF(AND(OR(J167=TRUE,J167="Yes"),ISNUMBER(K167)),K167+30,"")</f>
        <v/>
      </c>
      <c r="M167" s="28" t="n"/>
      <c r="N167" s="26" t="n"/>
      <c r="O167" s="26" t="n"/>
      <c r="P167" s="30" t="n"/>
    </row>
    <row r="168">
      <c r="A168" s="26" t="n"/>
      <c r="B168" s="26" t="n"/>
      <c r="C168" s="26" t="n"/>
      <c r="D168" s="26" t="n"/>
      <c r="E168" s="34" t="n"/>
      <c r="F168" s="26" t="n"/>
      <c r="G168" s="34" t="n"/>
      <c r="H168" s="62">
        <f>IF(G168="","",IF(G168&gt;TODAY(),"Upcoming",TODAY()-G168))</f>
        <v/>
      </c>
      <c r="I168" s="8">
        <f>IF(F168="","",IF(F168="Unknown","Confirm where it stands",IF(AND(OR(J168=TRUE,J168="Yes"),IFERROR(VALUE(MID(F168,FIND("(",F168)+1,FIND(")",F168,FIND("(",F168))-FIND("(",F168)-1))&gt;=2,FALSE)),"Expedited path: send to final approval",IFERROR(CHOOSE(VALUE(MID(F168,FIND("(",F168)+1,FIND(")",F168,FIND("(",F168))-FIND("(",F168)-1)),"Send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68" s="28" t="n"/>
      <c r="K168" s="34" t="n"/>
      <c r="L168" s="35">
        <f>IF(AND(OR(J168=TRUE,J168="Yes"),ISNUMBER(K168)),K168+30,"")</f>
        <v/>
      </c>
      <c r="M168" s="28" t="n"/>
      <c r="N168" s="26" t="n"/>
      <c r="O168" s="26" t="n"/>
      <c r="P168" s="30" t="n"/>
    </row>
    <row r="169">
      <c r="A169" s="26" t="n"/>
      <c r="B169" s="26" t="n"/>
      <c r="C169" s="26" t="n"/>
      <c r="D169" s="26" t="n"/>
      <c r="E169" s="34" t="n"/>
      <c r="F169" s="26" t="n"/>
      <c r="G169" s="34" t="n"/>
      <c r="H169" s="62">
        <f>IF(G169="","",IF(G169&gt;TODAY(),"Upcoming",TODAY()-G169))</f>
        <v/>
      </c>
      <c r="I169" s="8">
        <f>IF(F169="","",IF(F169="Unknown","Confirm where it stands",IF(AND(OR(J169=TRUE,J169="Yes"),IFERROR(VALUE(MID(F169,FIND("(",F169)+1,FIND(")",F169,FIND("(",F169))-FIND("(",F169)-1))&gt;=2,FALSE)),"Expedited path: send to final approval",IFERROR(CHOOSE(VALUE(MID(F169,FIND("(",F169)+1,FIND(")",F169,FIND("(",F169))-FIND("(",F169)-1)),"Send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69" s="28" t="n"/>
      <c r="K169" s="34" t="n"/>
      <c r="L169" s="35">
        <f>IF(AND(OR(J169=TRUE,J169="Yes"),ISNUMBER(K169)),K169+30,"")</f>
        <v/>
      </c>
      <c r="M169" s="28" t="n"/>
      <c r="N169" s="26" t="n"/>
      <c r="O169" s="26" t="n"/>
      <c r="P169" s="30" t="n"/>
    </row>
    <row r="170">
      <c r="A170" s="26" t="n"/>
      <c r="B170" s="26" t="n"/>
      <c r="C170" s="26" t="n"/>
      <c r="D170" s="26" t="n"/>
      <c r="E170" s="34" t="n"/>
      <c r="F170" s="26" t="n"/>
      <c r="G170" s="34" t="n"/>
      <c r="H170" s="62">
        <f>IF(G170="","",IF(G170&gt;TODAY(),"Upcoming",TODAY()-G170))</f>
        <v/>
      </c>
      <c r="I170" s="8">
        <f>IF(F170="","",IF(F170="Unknown","Confirm where it stands",IF(AND(OR(J170=TRUE,J170="Yes"),IFERROR(VALUE(MID(F170,FIND("(",F170)+1,FIND(")",F170,FIND("(",F170))-FIND("(",F170)-1))&gt;=2,FALSE)),"Expedited path: send to final approval",IFERROR(CHOOSE(VALUE(MID(F170,FIND("(",F170)+1,FIND(")",F170,FIND("(",F170))-FIND("(",F170)-1)),"Send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70" s="28" t="n"/>
      <c r="K170" s="34" t="n"/>
      <c r="L170" s="35">
        <f>IF(AND(OR(J170=TRUE,J170="Yes"),ISNUMBER(K170)),K170+30,"")</f>
        <v/>
      </c>
      <c r="M170" s="28" t="n"/>
      <c r="N170" s="26" t="n"/>
      <c r="O170" s="26" t="n"/>
      <c r="P170" s="30" t="n"/>
    </row>
    <row r="171">
      <c r="A171" s="26" t="n"/>
      <c r="B171" s="26" t="n"/>
      <c r="C171" s="26" t="n"/>
      <c r="D171" s="26" t="n"/>
      <c r="E171" s="34" t="n"/>
      <c r="F171" s="26" t="n"/>
      <c r="G171" s="34" t="n"/>
      <c r="H171" s="62">
        <f>IF(G171="","",IF(G171&gt;TODAY(),"Upcoming",TODAY()-G171))</f>
        <v/>
      </c>
      <c r="I171" s="8">
        <f>IF(F171="","",IF(F171="Unknown","Confirm where it stands",IF(AND(OR(J171=TRUE,J171="Yes"),IFERROR(VALUE(MID(F171,FIND("(",F171)+1,FIND(")",F171,FIND("(",F171))-FIND("(",F171)-1))&gt;=2,FALSE)),"Expedited path: send to final approval",IFERROR(CHOOSE(VALUE(MID(F171,FIND("(",F171)+1,FIND(")",F171,FIND("(",F171))-FIND("(",F171)-1)),"Send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71" s="28" t="n"/>
      <c r="K171" s="34" t="n"/>
      <c r="L171" s="35">
        <f>IF(AND(OR(J171=TRUE,J171="Yes"),ISNUMBER(K171)),K171+30,"")</f>
        <v/>
      </c>
      <c r="M171" s="28" t="n"/>
      <c r="N171" s="26" t="n"/>
      <c r="O171" s="26" t="n"/>
      <c r="P171" s="30" t="n"/>
    </row>
    <row r="172">
      <c r="A172" s="26" t="n"/>
      <c r="B172" s="26" t="n"/>
      <c r="C172" s="26" t="n"/>
      <c r="D172" s="26" t="n"/>
      <c r="E172" s="34" t="n"/>
      <c r="F172" s="26" t="n"/>
      <c r="G172" s="34" t="n"/>
      <c r="H172" s="62">
        <f>IF(G172="","",IF(G172&gt;TODAY(),"Upcoming",TODAY()-G172))</f>
        <v/>
      </c>
      <c r="I172" s="8">
        <f>IF(F172="","",IF(F172="Unknown","Confirm where it stands",IF(AND(OR(J172=TRUE,J172="Yes"),IFERROR(VALUE(MID(F172,FIND("(",F172)+1,FIND(")",F172,FIND("(",F172))-FIND("(",F172)-1))&gt;=2,FALSE)),"Expedited path: send to final approval",IFERROR(CHOOSE(VALUE(MID(F172,FIND("(",F172)+1,FIND(")",F172,FIND("(",F172))-FIND("(",F172)-1)),"Send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72" s="28" t="n"/>
      <c r="K172" s="34" t="n"/>
      <c r="L172" s="35">
        <f>IF(AND(OR(J172=TRUE,J172="Yes"),ISNUMBER(K172)),K172+30,"")</f>
        <v/>
      </c>
      <c r="M172" s="28" t="n"/>
      <c r="N172" s="26" t="n"/>
      <c r="O172" s="26" t="n"/>
      <c r="P172" s="30" t="n"/>
    </row>
    <row r="173">
      <c r="A173" s="26" t="n"/>
      <c r="B173" s="26" t="n"/>
      <c r="C173" s="26" t="n"/>
      <c r="D173" s="26" t="n"/>
      <c r="E173" s="34" t="n"/>
      <c r="F173" s="26" t="n"/>
      <c r="G173" s="34" t="n"/>
      <c r="H173" s="62">
        <f>IF(G173="","",IF(G173&gt;TODAY(),"Upcoming",TODAY()-G173))</f>
        <v/>
      </c>
      <c r="I173" s="8">
        <f>IF(F173="","",IF(F173="Unknown","Confirm where it stands",IF(AND(OR(J173=TRUE,J173="Yes"),IFERROR(VALUE(MID(F173,FIND("(",F173)+1,FIND(")",F173,FIND("(",F173))-FIND("(",F173)-1))&gt;=2,FALSE)),"Expedited path: send to final approval",IFERROR(CHOOSE(VALUE(MID(F173,FIND("(",F173)+1,FIND(")",F173,FIND("(",F173))-FIND("(",F173)-1)),"Send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73" s="28" t="n"/>
      <c r="K173" s="34" t="n"/>
      <c r="L173" s="35">
        <f>IF(AND(OR(J173=TRUE,J173="Yes"),ISNUMBER(K173)),K173+30,"")</f>
        <v/>
      </c>
      <c r="M173" s="28" t="n"/>
      <c r="N173" s="26" t="n"/>
      <c r="O173" s="26" t="n"/>
      <c r="P173" s="30" t="n"/>
    </row>
    <row r="174">
      <c r="A174" s="26" t="n"/>
      <c r="B174" s="26" t="n"/>
      <c r="C174" s="26" t="n"/>
      <c r="D174" s="26" t="n"/>
      <c r="E174" s="34" t="n"/>
      <c r="F174" s="26" t="n"/>
      <c r="G174" s="34" t="n"/>
      <c r="H174" s="62">
        <f>IF(G174="","",IF(G174&gt;TODAY(),"Upcoming",TODAY()-G174))</f>
        <v/>
      </c>
      <c r="I174" s="8">
        <f>IF(F174="","",IF(F174="Unknown","Confirm where it stands",IF(AND(OR(J174=TRUE,J174="Yes"),IFERROR(VALUE(MID(F174,FIND("(",F174)+1,FIND(")",F174,FIND("(",F174))-FIND("(",F174)-1))&gt;=2,FALSE)),"Expedited path: send to final approval",IFERROR(CHOOSE(VALUE(MID(F174,FIND("(",F174)+1,FIND(")",F174,FIND("(",F174))-FIND("(",F174)-1)),"Send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74" s="28" t="n"/>
      <c r="K174" s="34" t="n"/>
      <c r="L174" s="35">
        <f>IF(AND(OR(J174=TRUE,J174="Yes"),ISNUMBER(K174)),K174+30,"")</f>
        <v/>
      </c>
      <c r="M174" s="28" t="n"/>
      <c r="N174" s="26" t="n"/>
      <c r="O174" s="26" t="n"/>
      <c r="P174" s="30" t="n"/>
    </row>
    <row r="175">
      <c r="A175" s="26" t="n"/>
      <c r="B175" s="26" t="n"/>
      <c r="C175" s="26" t="n"/>
      <c r="D175" s="26" t="n"/>
      <c r="E175" s="34" t="n"/>
      <c r="F175" s="26" t="n"/>
      <c r="G175" s="34" t="n"/>
      <c r="H175" s="62">
        <f>IF(G175="","",IF(G175&gt;TODAY(),"Upcoming",TODAY()-G175))</f>
        <v/>
      </c>
      <c r="I175" s="8">
        <f>IF(F175="","",IF(F175="Unknown","Confirm where it stands",IF(AND(OR(J175=TRUE,J175="Yes"),IFERROR(VALUE(MID(F175,FIND("(",F175)+1,FIND(")",F175,FIND("(",F175))-FIND("(",F175)-1))&gt;=2,FALSE)),"Expedited path: send to final approval",IFERROR(CHOOSE(VALUE(MID(F175,FIND("(",F175)+1,FIND(")",F175,FIND("(",F175))-FIND("(",F175)-1)),"Send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75" s="28" t="n"/>
      <c r="K175" s="34" t="n"/>
      <c r="L175" s="35">
        <f>IF(AND(OR(J175=TRUE,J175="Yes"),ISNUMBER(K175)),K175+30,"")</f>
        <v/>
      </c>
      <c r="M175" s="28" t="n"/>
      <c r="N175" s="26" t="n"/>
      <c r="O175" s="26" t="n"/>
      <c r="P175" s="30" t="n"/>
    </row>
    <row r="176">
      <c r="A176" s="26" t="n"/>
      <c r="B176" s="26" t="n"/>
      <c r="C176" s="26" t="n"/>
      <c r="D176" s="26" t="n"/>
      <c r="E176" s="34" t="n"/>
      <c r="F176" s="26" t="n"/>
      <c r="G176" s="34" t="n"/>
      <c r="H176" s="62">
        <f>IF(G176="","",IF(G176&gt;TODAY(),"Upcoming",TODAY()-G176))</f>
        <v/>
      </c>
      <c r="I176" s="8">
        <f>IF(F176="","",IF(F176="Unknown","Confirm where it stands",IF(AND(OR(J176=TRUE,J176="Yes"),IFERROR(VALUE(MID(F176,FIND("(",F176)+1,FIND(")",F176,FIND("(",F176))-FIND("(",F176)-1))&gt;=2,FALSE)),"Expedited path: send to final approval",IFERROR(CHOOSE(VALUE(MID(F176,FIND("(",F176)+1,FIND(")",F176,FIND("(",F176))-FIND("(",F176)-1)),"Send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76" s="28" t="n"/>
      <c r="K176" s="34" t="n"/>
      <c r="L176" s="35">
        <f>IF(AND(OR(J176=TRUE,J176="Yes"),ISNUMBER(K176)),K176+30,"")</f>
        <v/>
      </c>
      <c r="M176" s="28" t="n"/>
      <c r="N176" s="26" t="n"/>
      <c r="O176" s="26" t="n"/>
      <c r="P176" s="30" t="n"/>
    </row>
    <row r="177">
      <c r="A177" s="26" t="n"/>
      <c r="B177" s="26" t="n"/>
      <c r="C177" s="26" t="n"/>
      <c r="D177" s="26" t="n"/>
      <c r="E177" s="34" t="n"/>
      <c r="F177" s="26" t="n"/>
      <c r="G177" s="34" t="n"/>
      <c r="H177" s="62">
        <f>IF(G177="","",IF(G177&gt;TODAY(),"Upcoming",TODAY()-G177))</f>
        <v/>
      </c>
      <c r="I177" s="8">
        <f>IF(F177="","",IF(F177="Unknown","Confirm where it stands",IF(AND(OR(J177=TRUE,J177="Yes"),IFERROR(VALUE(MID(F177,FIND("(",F177)+1,FIND(")",F177,FIND("(",F177))-FIND("(",F177)-1))&gt;=2,FALSE)),"Expedited path: send to final approval",IFERROR(CHOOSE(VALUE(MID(F177,FIND("(",F177)+1,FIND(")",F177,FIND("(",F177))-FIND("(",F177)-1)),"Send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77" s="28" t="n"/>
      <c r="K177" s="34" t="n"/>
      <c r="L177" s="35">
        <f>IF(AND(OR(J177=TRUE,J177="Yes"),ISNUMBER(K177)),K177+30,"")</f>
        <v/>
      </c>
      <c r="M177" s="28" t="n"/>
      <c r="N177" s="26" t="n"/>
      <c r="O177" s="26" t="n"/>
      <c r="P177" s="30" t="n"/>
    </row>
    <row r="178">
      <c r="A178" s="26" t="n"/>
      <c r="B178" s="26" t="n"/>
      <c r="C178" s="26" t="n"/>
      <c r="D178" s="26" t="n"/>
      <c r="E178" s="34" t="n"/>
      <c r="F178" s="26" t="n"/>
      <c r="G178" s="34" t="n"/>
      <c r="H178" s="62">
        <f>IF(G178="","",IF(G178&gt;TODAY(),"Upcoming",TODAY()-G178))</f>
        <v/>
      </c>
      <c r="I178" s="8">
        <f>IF(F178="","",IF(F178="Unknown","Confirm where it stands",IF(AND(OR(J178=TRUE,J178="Yes"),IFERROR(VALUE(MID(F178,FIND("(",F178)+1,FIND(")",F178,FIND("(",F178))-FIND("(",F178)-1))&gt;=2,FALSE)),"Expedited path: send to final approval",IFERROR(CHOOSE(VALUE(MID(F178,FIND("(",F178)+1,FIND(")",F178,FIND("(",F178))-FIND("(",F178)-1)),"Send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78" s="28" t="n"/>
      <c r="K178" s="34" t="n"/>
      <c r="L178" s="35">
        <f>IF(AND(OR(J178=TRUE,J178="Yes"),ISNUMBER(K178)),K178+30,"")</f>
        <v/>
      </c>
      <c r="M178" s="28" t="n"/>
      <c r="N178" s="26" t="n"/>
      <c r="O178" s="26" t="n"/>
      <c r="P178" s="30" t="n"/>
    </row>
    <row r="179">
      <c r="A179" s="26" t="n"/>
      <c r="B179" s="26" t="n"/>
      <c r="C179" s="26" t="n"/>
      <c r="D179" s="26" t="n"/>
      <c r="E179" s="34" t="n"/>
      <c r="F179" s="26" t="n"/>
      <c r="G179" s="34" t="n"/>
      <c r="H179" s="62">
        <f>IF(G179="","",IF(G179&gt;TODAY(),"Upcoming",TODAY()-G179))</f>
        <v/>
      </c>
      <c r="I179" s="8">
        <f>IF(F179="","",IF(F179="Unknown","Confirm where it stands",IF(AND(OR(J179=TRUE,J179="Yes"),IFERROR(VALUE(MID(F179,FIND("(",F179)+1,FIND(")",F179,FIND("(",F179))-FIND("(",F179)-1))&gt;=2,FALSE)),"Expedited path: send to final approval",IFERROR(CHOOSE(VALUE(MID(F179,FIND("(",F179)+1,FIND(")",F179,FIND("(",F179))-FIND("(",F179)-1)),"Send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79" s="28" t="n"/>
      <c r="K179" s="34" t="n"/>
      <c r="L179" s="35">
        <f>IF(AND(OR(J179=TRUE,J179="Yes"),ISNUMBER(K179)),K179+30,"")</f>
        <v/>
      </c>
      <c r="M179" s="28" t="n"/>
      <c r="N179" s="26" t="n"/>
      <c r="O179" s="26" t="n"/>
      <c r="P179" s="30" t="n"/>
    </row>
    <row r="180">
      <c r="A180" s="26" t="n"/>
      <c r="B180" s="26" t="n"/>
      <c r="C180" s="26" t="n"/>
      <c r="D180" s="26" t="n"/>
      <c r="E180" s="34" t="n"/>
      <c r="F180" s="26" t="n"/>
      <c r="G180" s="34" t="n"/>
      <c r="H180" s="62">
        <f>IF(G180="","",IF(G180&gt;TODAY(),"Upcoming",TODAY()-G180))</f>
        <v/>
      </c>
      <c r="I180" s="8">
        <f>IF(F180="","",IF(F180="Unknown","Confirm where it stands",IF(AND(OR(J180=TRUE,J180="Yes"),IFERROR(VALUE(MID(F180,FIND("(",F180)+1,FIND(")",F180,FIND("(",F180))-FIND("(",F180)-1))&gt;=2,FALSE)),"Expedited path: send to final approval",IFERROR(CHOOSE(VALUE(MID(F180,FIND("(",F180)+1,FIND(")",F180,FIND("(",F180))-FIND("(",F180)-1)),"Send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80" s="28" t="n"/>
      <c r="K180" s="34" t="n"/>
      <c r="L180" s="35">
        <f>IF(AND(OR(J180=TRUE,J180="Yes"),ISNUMBER(K180)),K180+30,"")</f>
        <v/>
      </c>
      <c r="M180" s="28" t="n"/>
      <c r="N180" s="26" t="n"/>
      <c r="O180" s="26" t="n"/>
      <c r="P180" s="30" t="n"/>
    </row>
    <row r="181">
      <c r="A181" s="26" t="n"/>
      <c r="B181" s="26" t="n"/>
      <c r="C181" s="26" t="n"/>
      <c r="D181" s="26" t="n"/>
      <c r="E181" s="34" t="n"/>
      <c r="F181" s="26" t="n"/>
      <c r="G181" s="34" t="n"/>
      <c r="H181" s="62">
        <f>IF(G181="","",IF(G181&gt;TODAY(),"Upcoming",TODAY()-G181))</f>
        <v/>
      </c>
      <c r="I181" s="8">
        <f>IF(F181="","",IF(F181="Unknown","Confirm where it stands",IF(AND(OR(J181=TRUE,J181="Yes"),IFERROR(VALUE(MID(F181,FIND("(",F181)+1,FIND(")",F181,FIND("(",F181))-FIND("(",F181)-1))&gt;=2,FALSE)),"Expedited path: send to final approval",IFERROR(CHOOSE(VALUE(MID(F181,FIND("(",F181)+1,FIND(")",F181,FIND("(",F181))-FIND("(",F181)-1)),"Send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81" s="28" t="n"/>
      <c r="K181" s="34" t="n"/>
      <c r="L181" s="35">
        <f>IF(AND(OR(J181=TRUE,J181="Yes"),ISNUMBER(K181)),K181+30,"")</f>
        <v/>
      </c>
      <c r="M181" s="28" t="n"/>
      <c r="N181" s="26" t="n"/>
      <c r="O181" s="26" t="n"/>
      <c r="P181" s="30" t="n"/>
    </row>
    <row r="182">
      <c r="A182" s="26" t="n"/>
      <c r="B182" s="26" t="n"/>
      <c r="C182" s="26" t="n"/>
      <c r="D182" s="26" t="n"/>
      <c r="E182" s="34" t="n"/>
      <c r="F182" s="26" t="n"/>
      <c r="G182" s="34" t="n"/>
      <c r="H182" s="62">
        <f>IF(G182="","",IF(G182&gt;TODAY(),"Upcoming",TODAY()-G182))</f>
        <v/>
      </c>
      <c r="I182" s="8">
        <f>IF(F182="","",IF(F182="Unknown","Confirm where it stands",IF(AND(OR(J182=TRUE,J182="Yes"),IFERROR(VALUE(MID(F182,FIND("(",F182)+1,FIND(")",F182,FIND("(",F182))-FIND("(",F182)-1))&gt;=2,FALSE)),"Expedited path: send to final approval",IFERROR(CHOOSE(VALUE(MID(F182,FIND("(",F182)+1,FIND(")",F182,FIND("(",F182))-FIND("(",F182)-1)),"Send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82" s="28" t="n"/>
      <c r="K182" s="34" t="n"/>
      <c r="L182" s="35">
        <f>IF(AND(OR(J182=TRUE,J182="Yes"),ISNUMBER(K182)),K182+30,"")</f>
        <v/>
      </c>
      <c r="M182" s="28" t="n"/>
      <c r="N182" s="26" t="n"/>
      <c r="O182" s="26" t="n"/>
      <c r="P182" s="30" t="n"/>
    </row>
    <row r="183">
      <c r="A183" s="26" t="n"/>
      <c r="B183" s="26" t="n"/>
      <c r="C183" s="26" t="n"/>
      <c r="D183" s="26" t="n"/>
      <c r="E183" s="34" t="n"/>
      <c r="F183" s="26" t="n"/>
      <c r="G183" s="34" t="n"/>
      <c r="H183" s="62">
        <f>IF(G183="","",IF(G183&gt;TODAY(),"Upcoming",TODAY()-G183))</f>
        <v/>
      </c>
      <c r="I183" s="8">
        <f>IF(F183="","",IF(F183="Unknown","Confirm where it stands",IF(AND(OR(J183=TRUE,J183="Yes"),IFERROR(VALUE(MID(F183,FIND("(",F183)+1,FIND(")",F183,FIND("(",F183))-FIND("(",F183)-1))&gt;=2,FALSE)),"Expedited path: send to final approval",IFERROR(CHOOSE(VALUE(MID(F183,FIND("(",F183)+1,FIND(")",F183,FIND("(",F183))-FIND("(",F183)-1)),"Send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83" s="28" t="n"/>
      <c r="K183" s="34" t="n"/>
      <c r="L183" s="35">
        <f>IF(AND(OR(J183=TRUE,J183="Yes"),ISNUMBER(K183)),K183+30,"")</f>
        <v/>
      </c>
      <c r="M183" s="28" t="n"/>
      <c r="N183" s="26" t="n"/>
      <c r="O183" s="26" t="n"/>
      <c r="P183" s="30" t="n"/>
    </row>
    <row r="184">
      <c r="A184" s="26" t="n"/>
      <c r="B184" s="26" t="n"/>
      <c r="C184" s="26" t="n"/>
      <c r="D184" s="26" t="n"/>
      <c r="E184" s="34" t="n"/>
      <c r="F184" s="26" t="n"/>
      <c r="G184" s="34" t="n"/>
      <c r="H184" s="62">
        <f>IF(G184="","",IF(G184&gt;TODAY(),"Upcoming",TODAY()-G184))</f>
        <v/>
      </c>
      <c r="I184" s="8">
        <f>IF(F184="","",IF(F184="Unknown","Confirm where it stands",IF(AND(OR(J184=TRUE,J184="Yes"),IFERROR(VALUE(MID(F184,FIND("(",F184)+1,FIND(")",F184,FIND("(",F184))-FIND("(",F184)-1))&gt;=2,FALSE)),"Expedited path: send to final approval",IFERROR(CHOOSE(VALUE(MID(F184,FIND("(",F184)+1,FIND(")",F184,FIND("(",F184))-FIND("(",F184)-1)),"Send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84" s="28" t="n"/>
      <c r="K184" s="34" t="n"/>
      <c r="L184" s="35">
        <f>IF(AND(OR(J184=TRUE,J184="Yes"),ISNUMBER(K184)),K184+30,"")</f>
        <v/>
      </c>
      <c r="M184" s="28" t="n"/>
      <c r="N184" s="26" t="n"/>
      <c r="O184" s="26" t="n"/>
      <c r="P184" s="30" t="n"/>
    </row>
    <row r="185">
      <c r="A185" s="26" t="n"/>
      <c r="B185" s="26" t="n"/>
      <c r="C185" s="26" t="n"/>
      <c r="D185" s="26" t="n"/>
      <c r="E185" s="34" t="n"/>
      <c r="F185" s="26" t="n"/>
      <c r="G185" s="34" t="n"/>
      <c r="H185" s="62">
        <f>IF(G185="","",IF(G185&gt;TODAY(),"Upcoming",TODAY()-G185))</f>
        <v/>
      </c>
      <c r="I185" s="8">
        <f>IF(F185="","",IF(F185="Unknown","Confirm where it stands",IF(AND(OR(J185=TRUE,J185="Yes"),IFERROR(VALUE(MID(F185,FIND("(",F185)+1,FIND(")",F185,FIND("(",F185))-FIND("(",F185)-1))&gt;=2,FALSE)),"Expedited path: send to final approval",IFERROR(CHOOSE(VALUE(MID(F185,FIND("(",F185)+1,FIND(")",F185,FIND("(",F185))-FIND("(",F185)-1)),"Send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85" s="28" t="n"/>
      <c r="K185" s="34" t="n"/>
      <c r="L185" s="35">
        <f>IF(AND(OR(J185=TRUE,J185="Yes"),ISNUMBER(K185)),K185+30,"")</f>
        <v/>
      </c>
      <c r="M185" s="28" t="n"/>
      <c r="N185" s="26" t="n"/>
      <c r="O185" s="26" t="n"/>
      <c r="P185" s="30" t="n"/>
    </row>
    <row r="186">
      <c r="A186" s="26" t="n"/>
      <c r="B186" s="26" t="n"/>
      <c r="C186" s="26" t="n"/>
      <c r="D186" s="26" t="n"/>
      <c r="E186" s="34" t="n"/>
      <c r="F186" s="26" t="n"/>
      <c r="G186" s="34" t="n"/>
      <c r="H186" s="62">
        <f>IF(G186="","",IF(G186&gt;TODAY(),"Upcoming",TODAY()-G186))</f>
        <v/>
      </c>
      <c r="I186" s="8">
        <f>IF(F186="","",IF(F186="Unknown","Confirm where it stands",IF(AND(OR(J186=TRUE,J186="Yes"),IFERROR(VALUE(MID(F186,FIND("(",F186)+1,FIND(")",F186,FIND("(",F186))-FIND("(",F186)-1))&gt;=2,FALSE)),"Expedited path: send to final approval",IFERROR(CHOOSE(VALUE(MID(F186,FIND("(",F186)+1,FIND(")",F186,FIND("(",F186))-FIND("(",F186)-1)),"Send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86" s="28" t="n"/>
      <c r="K186" s="34" t="n"/>
      <c r="L186" s="35">
        <f>IF(AND(OR(J186=TRUE,J186="Yes"),ISNUMBER(K186)),K186+30,"")</f>
        <v/>
      </c>
      <c r="M186" s="28" t="n"/>
      <c r="N186" s="26" t="n"/>
      <c r="O186" s="26" t="n"/>
      <c r="P186" s="30" t="n"/>
    </row>
    <row r="187">
      <c r="A187" s="26" t="n"/>
      <c r="B187" s="26" t="n"/>
      <c r="C187" s="26" t="n"/>
      <c r="D187" s="26" t="n"/>
      <c r="E187" s="34" t="n"/>
      <c r="F187" s="26" t="n"/>
      <c r="G187" s="34" t="n"/>
      <c r="H187" s="62">
        <f>IF(G187="","",IF(G187&gt;TODAY(),"Upcoming",TODAY()-G187))</f>
        <v/>
      </c>
      <c r="I187" s="8">
        <f>IF(F187="","",IF(F187="Unknown","Confirm where it stands",IF(AND(OR(J187=TRUE,J187="Yes"),IFERROR(VALUE(MID(F187,FIND("(",F187)+1,FIND(")",F187,FIND("(",F187))-FIND("(",F187)-1))&gt;=2,FALSE)),"Expedited path: send to final approval",IFERROR(CHOOSE(VALUE(MID(F187,FIND("(",F187)+1,FIND(")",F187,FIND("(",F187))-FIND("(",F187)-1)),"Send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87" s="28" t="n"/>
      <c r="K187" s="34" t="n"/>
      <c r="L187" s="35">
        <f>IF(AND(OR(J187=TRUE,J187="Yes"),ISNUMBER(K187)),K187+30,"")</f>
        <v/>
      </c>
      <c r="M187" s="28" t="n"/>
      <c r="N187" s="26" t="n"/>
      <c r="O187" s="26" t="n"/>
      <c r="P187" s="30" t="n"/>
    </row>
    <row r="188">
      <c r="A188" s="26" t="n"/>
      <c r="B188" s="26" t="n"/>
      <c r="C188" s="26" t="n"/>
      <c r="D188" s="26" t="n"/>
      <c r="E188" s="34" t="n"/>
      <c r="F188" s="26" t="n"/>
      <c r="G188" s="34" t="n"/>
      <c r="H188" s="62">
        <f>IF(G188="","",IF(G188&gt;TODAY(),"Upcoming",TODAY()-G188))</f>
        <v/>
      </c>
      <c r="I188" s="8">
        <f>IF(F188="","",IF(F188="Unknown","Confirm where it stands",IF(AND(OR(J188=TRUE,J188="Yes"),IFERROR(VALUE(MID(F188,FIND("(",F188)+1,FIND(")",F188,FIND("(",F188))-FIND("(",F188)-1))&gt;=2,FALSE)),"Expedited path: send to final approval",IFERROR(CHOOSE(VALUE(MID(F188,FIND("(",F188)+1,FIND(")",F188,FIND("(",F188))-FIND("(",F188)-1)),"Send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88" s="28" t="n"/>
      <c r="K188" s="34" t="n"/>
      <c r="L188" s="35">
        <f>IF(AND(OR(J188=TRUE,J188="Yes"),ISNUMBER(K188)),K188+30,"")</f>
        <v/>
      </c>
      <c r="M188" s="28" t="n"/>
      <c r="N188" s="26" t="n"/>
      <c r="O188" s="26" t="n"/>
      <c r="P188" s="30" t="n"/>
    </row>
    <row r="189">
      <c r="A189" s="26" t="n"/>
      <c r="B189" s="26" t="n"/>
      <c r="C189" s="26" t="n"/>
      <c r="D189" s="26" t="n"/>
      <c r="E189" s="34" t="n"/>
      <c r="F189" s="26" t="n"/>
      <c r="G189" s="34" t="n"/>
      <c r="H189" s="62">
        <f>IF(G189="","",IF(G189&gt;TODAY(),"Upcoming",TODAY()-G189))</f>
        <v/>
      </c>
      <c r="I189" s="8">
        <f>IF(F189="","",IF(F189="Unknown","Confirm where it stands",IF(AND(OR(J189=TRUE,J189="Yes"),IFERROR(VALUE(MID(F189,FIND("(",F189)+1,FIND(")",F189,FIND("(",F189))-FIND("(",F189)-1))&gt;=2,FALSE)),"Expedited path: send to final approval",IFERROR(CHOOSE(VALUE(MID(F189,FIND("(",F189)+1,FIND(")",F189,FIND("(",F189))-FIND("(",F189)-1)),"Send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89" s="28" t="n"/>
      <c r="K189" s="34" t="n"/>
      <c r="L189" s="35">
        <f>IF(AND(OR(J189=TRUE,J189="Yes"),ISNUMBER(K189)),K189+30,"")</f>
        <v/>
      </c>
      <c r="M189" s="28" t="n"/>
      <c r="N189" s="26" t="n"/>
      <c r="O189" s="26" t="n"/>
      <c r="P189" s="30" t="n"/>
    </row>
    <row r="190">
      <c r="A190" s="26" t="n"/>
      <c r="B190" s="26" t="n"/>
      <c r="C190" s="26" t="n"/>
      <c r="D190" s="26" t="n"/>
      <c r="E190" s="34" t="n"/>
      <c r="F190" s="26" t="n"/>
      <c r="G190" s="34" t="n"/>
      <c r="H190" s="62">
        <f>IF(G190="","",IF(G190&gt;TODAY(),"Upcoming",TODAY()-G190))</f>
        <v/>
      </c>
      <c r="I190" s="8">
        <f>IF(F190="","",IF(F190="Unknown","Confirm where it stands",IF(AND(OR(J190=TRUE,J190="Yes"),IFERROR(VALUE(MID(F190,FIND("(",F190)+1,FIND(")",F190,FIND("(",F190))-FIND("(",F190)-1))&gt;=2,FALSE)),"Expedited path: send to final approval",IFERROR(CHOOSE(VALUE(MID(F190,FIND("(",F190)+1,FIND(")",F190,FIND("(",F190))-FIND("(",F190)-1)),"Send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90" s="28" t="n"/>
      <c r="K190" s="34" t="n"/>
      <c r="L190" s="35">
        <f>IF(AND(OR(J190=TRUE,J190="Yes"),ISNUMBER(K190)),K190+30,"")</f>
        <v/>
      </c>
      <c r="M190" s="28" t="n"/>
      <c r="N190" s="26" t="n"/>
      <c r="O190" s="26" t="n"/>
      <c r="P190" s="30" t="n"/>
    </row>
    <row r="191">
      <c r="A191" s="26" t="n"/>
      <c r="B191" s="26" t="n"/>
      <c r="C191" s="26" t="n"/>
      <c r="D191" s="26" t="n"/>
      <c r="E191" s="34" t="n"/>
      <c r="F191" s="26" t="n"/>
      <c r="G191" s="34" t="n"/>
      <c r="H191" s="62">
        <f>IF(G191="","",IF(G191&gt;TODAY(),"Upcoming",TODAY()-G191))</f>
        <v/>
      </c>
      <c r="I191" s="8">
        <f>IF(F191="","",IF(F191="Unknown","Confirm where it stands",IF(AND(OR(J191=TRUE,J191="Yes"),IFERROR(VALUE(MID(F191,FIND("(",F191)+1,FIND(")",F191,FIND("(",F191))-FIND("(",F191)-1))&gt;=2,FALSE)),"Expedited path: send to final approval",IFERROR(CHOOSE(VALUE(MID(F191,FIND("(",F191)+1,FIND(")",F191,FIND("(",F191))-FIND("(",F191)-1)),"Send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91" s="28" t="n"/>
      <c r="K191" s="34" t="n"/>
      <c r="L191" s="35">
        <f>IF(AND(OR(J191=TRUE,J191="Yes"),ISNUMBER(K191)),K191+30,"")</f>
        <v/>
      </c>
      <c r="M191" s="28" t="n"/>
      <c r="N191" s="26" t="n"/>
      <c r="O191" s="26" t="n"/>
      <c r="P191" s="30" t="n"/>
    </row>
    <row r="192">
      <c r="A192" s="26" t="n"/>
      <c r="B192" s="26" t="n"/>
      <c r="C192" s="26" t="n"/>
      <c r="D192" s="26" t="n"/>
      <c r="E192" s="34" t="n"/>
      <c r="F192" s="26" t="n"/>
      <c r="G192" s="34" t="n"/>
      <c r="H192" s="62">
        <f>IF(G192="","",IF(G192&gt;TODAY(),"Upcoming",TODAY()-G192))</f>
        <v/>
      </c>
      <c r="I192" s="8">
        <f>IF(F192="","",IF(F192="Unknown","Confirm where it stands",IF(AND(OR(J192=TRUE,J192="Yes"),IFERROR(VALUE(MID(F192,FIND("(",F192)+1,FIND(")",F192,FIND("(",F192))-FIND("(",F192)-1))&gt;=2,FALSE)),"Expedited path: send to final approval",IFERROR(CHOOSE(VALUE(MID(F192,FIND("(",F192)+1,FIND(")",F192,FIND("(",F192))-FIND("(",F192)-1)),"Send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92" s="28" t="n"/>
      <c r="K192" s="34" t="n"/>
      <c r="L192" s="35">
        <f>IF(AND(OR(J192=TRUE,J192="Yes"),ISNUMBER(K192)),K192+30,"")</f>
        <v/>
      </c>
      <c r="M192" s="28" t="n"/>
      <c r="N192" s="26" t="n"/>
      <c r="O192" s="26" t="n"/>
      <c r="P192" s="30" t="n"/>
    </row>
    <row r="193">
      <c r="A193" s="26" t="n"/>
      <c r="B193" s="26" t="n"/>
      <c r="C193" s="26" t="n"/>
      <c r="D193" s="26" t="n"/>
      <c r="E193" s="34" t="n"/>
      <c r="F193" s="26" t="n"/>
      <c r="G193" s="34" t="n"/>
      <c r="H193" s="62">
        <f>IF(G193="","",IF(G193&gt;TODAY(),"Upcoming",TODAY()-G193))</f>
        <v/>
      </c>
      <c r="I193" s="8">
        <f>IF(F193="","",IF(F193="Unknown","Confirm where it stands",IF(AND(OR(J193=TRUE,J193="Yes"),IFERROR(VALUE(MID(F193,FIND("(",F193)+1,FIND(")",F193,FIND("(",F193))-FIND("(",F193)-1))&gt;=2,FALSE)),"Expedited path: send to final approval",IFERROR(CHOOSE(VALUE(MID(F193,FIND("(",F193)+1,FIND(")",F193,FIND("(",F193))-FIND("(",F193)-1)),"Send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93" s="28" t="n"/>
      <c r="K193" s="34" t="n"/>
      <c r="L193" s="35">
        <f>IF(AND(OR(J193=TRUE,J193="Yes"),ISNUMBER(K193)),K193+30,"")</f>
        <v/>
      </c>
      <c r="M193" s="28" t="n"/>
      <c r="N193" s="26" t="n"/>
      <c r="O193" s="26" t="n"/>
      <c r="P193" s="30" t="n"/>
    </row>
    <row r="194">
      <c r="A194" s="26" t="n"/>
      <c r="B194" s="26" t="n"/>
      <c r="C194" s="26" t="n"/>
      <c r="D194" s="26" t="n"/>
      <c r="E194" s="34" t="n"/>
      <c r="F194" s="26" t="n"/>
      <c r="G194" s="34" t="n"/>
      <c r="H194" s="62">
        <f>IF(G194="","",IF(G194&gt;TODAY(),"Upcoming",TODAY()-G194))</f>
        <v/>
      </c>
      <c r="I194" s="8">
        <f>IF(F194="","",IF(F194="Unknown","Confirm where it stands",IF(AND(OR(J194=TRUE,J194="Yes"),IFERROR(VALUE(MID(F194,FIND("(",F194)+1,FIND(")",F194,FIND("(",F194))-FIND("(",F194)-1))&gt;=2,FALSE)),"Expedited path: send to final approval",IFERROR(CHOOSE(VALUE(MID(F194,FIND("(",F194)+1,FIND(")",F194,FIND("(",F194))-FIND("(",F194)-1)),"Send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94" s="28" t="n"/>
      <c r="K194" s="34" t="n"/>
      <c r="L194" s="35">
        <f>IF(AND(OR(J194=TRUE,J194="Yes"),ISNUMBER(K194)),K194+30,"")</f>
        <v/>
      </c>
      <c r="M194" s="28" t="n"/>
      <c r="N194" s="26" t="n"/>
      <c r="O194" s="26" t="n"/>
      <c r="P194" s="30" t="n"/>
    </row>
    <row r="195">
      <c r="A195" s="26" t="n"/>
      <c r="B195" s="26" t="n"/>
      <c r="C195" s="26" t="n"/>
      <c r="D195" s="26" t="n"/>
      <c r="E195" s="34" t="n"/>
      <c r="F195" s="26" t="n"/>
      <c r="G195" s="34" t="n"/>
      <c r="H195" s="62">
        <f>IF(G195="","",IF(G195&gt;TODAY(),"Upcoming",TODAY()-G195))</f>
        <v/>
      </c>
      <c r="I195" s="8">
        <f>IF(F195="","",IF(F195="Unknown","Confirm where it stands",IF(AND(OR(J195=TRUE,J195="Yes"),IFERROR(VALUE(MID(F195,FIND("(",F195)+1,FIND(")",F195,FIND("(",F195))-FIND("(",F195)-1))&gt;=2,FALSE)),"Expedited path: send to final approval",IFERROR(CHOOSE(VALUE(MID(F195,FIND("(",F195)+1,FIND(")",F195,FIND("(",F195))-FIND("(",F195)-1)),"Send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95" s="28" t="n"/>
      <c r="K195" s="34" t="n"/>
      <c r="L195" s="35">
        <f>IF(AND(OR(J195=TRUE,J195="Yes"),ISNUMBER(K195)),K195+30,"")</f>
        <v/>
      </c>
      <c r="M195" s="28" t="n"/>
      <c r="N195" s="26" t="n"/>
      <c r="O195" s="26" t="n"/>
      <c r="P195" s="30" t="n"/>
    </row>
    <row r="196">
      <c r="A196" s="26" t="n"/>
      <c r="B196" s="26" t="n"/>
      <c r="C196" s="26" t="n"/>
      <c r="D196" s="26" t="n"/>
      <c r="E196" s="34" t="n"/>
      <c r="F196" s="26" t="n"/>
      <c r="G196" s="34" t="n"/>
      <c r="H196" s="62">
        <f>IF(G196="","",IF(G196&gt;TODAY(),"Upcoming",TODAY()-G196))</f>
        <v/>
      </c>
      <c r="I196" s="8">
        <f>IF(F196="","",IF(F196="Unknown","Confirm where it stands",IF(AND(OR(J196=TRUE,J196="Yes"),IFERROR(VALUE(MID(F196,FIND("(",F196)+1,FIND(")",F196,FIND("(",F196))-FIND("(",F196)-1))&gt;=2,FALSE)),"Expedited path: send to final approval",IFERROR(CHOOSE(VALUE(MID(F196,FIND("(",F196)+1,FIND(")",F196,FIND("(",F196))-FIND("(",F196)-1)),"Send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96" s="28" t="n"/>
      <c r="K196" s="34" t="n"/>
      <c r="L196" s="35">
        <f>IF(AND(OR(J196=TRUE,J196="Yes"),ISNUMBER(K196)),K196+30,"")</f>
        <v/>
      </c>
      <c r="M196" s="28" t="n"/>
      <c r="N196" s="26" t="n"/>
      <c r="O196" s="26" t="n"/>
      <c r="P196" s="30" t="n"/>
    </row>
    <row r="197">
      <c r="A197" s="26" t="n"/>
      <c r="B197" s="26" t="n"/>
      <c r="C197" s="26" t="n"/>
      <c r="D197" s="26" t="n"/>
      <c r="E197" s="34" t="n"/>
      <c r="F197" s="26" t="n"/>
      <c r="G197" s="34" t="n"/>
      <c r="H197" s="62">
        <f>IF(G197="","",IF(G197&gt;TODAY(),"Upcoming",TODAY()-G197))</f>
        <v/>
      </c>
      <c r="I197" s="8">
        <f>IF(F197="","",IF(F197="Unknown","Confirm where it stands",IF(AND(OR(J197=TRUE,J197="Yes"),IFERROR(VALUE(MID(F197,FIND("(",F197)+1,FIND(")",F197,FIND("(",F197))-FIND("(",F197)-1))&gt;=2,FALSE)),"Expedited path: send to final approval",IFERROR(CHOOSE(VALUE(MID(F197,FIND("(",F197)+1,FIND(")",F197,FIND("(",F197))-FIND("(",F197)-1)),"Send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97" s="28" t="n"/>
      <c r="K197" s="34" t="n"/>
      <c r="L197" s="35">
        <f>IF(AND(OR(J197=TRUE,J197="Yes"),ISNUMBER(K197)),K197+30,"")</f>
        <v/>
      </c>
      <c r="M197" s="28" t="n"/>
      <c r="N197" s="26" t="n"/>
      <c r="O197" s="26" t="n"/>
      <c r="P197" s="30" t="n"/>
    </row>
    <row r="198">
      <c r="A198" s="26" t="n"/>
      <c r="B198" s="26" t="n"/>
      <c r="C198" s="26" t="n"/>
      <c r="D198" s="26" t="n"/>
      <c r="E198" s="34" t="n"/>
      <c r="F198" s="26" t="n"/>
      <c r="G198" s="34" t="n"/>
      <c r="H198" s="62">
        <f>IF(G198="","",IF(G198&gt;TODAY(),"Upcoming",TODAY()-G198))</f>
        <v/>
      </c>
      <c r="I198" s="8">
        <f>IF(F198="","",IF(F198="Unknown","Confirm where it stands",IF(AND(OR(J198=TRUE,J198="Yes"),IFERROR(VALUE(MID(F198,FIND("(",F198)+1,FIND(")",F198,FIND("(",F198))-FIND("(",F198)-1))&gt;=2,FALSE)),"Expedited path: send to final approval",IFERROR(CHOOSE(VALUE(MID(F198,FIND("(",F198)+1,FIND(")",F198,FIND("(",F198))-FIND("(",F198)-1)),"Send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98" s="28" t="n"/>
      <c r="K198" s="34" t="n"/>
      <c r="L198" s="35">
        <f>IF(AND(OR(J198=TRUE,J198="Yes"),ISNUMBER(K198)),K198+30,"")</f>
        <v/>
      </c>
      <c r="M198" s="28" t="n"/>
      <c r="N198" s="26" t="n"/>
      <c r="O198" s="26" t="n"/>
      <c r="P198" s="30" t="n"/>
    </row>
    <row r="199">
      <c r="A199" s="26" t="n"/>
      <c r="B199" s="26" t="n"/>
      <c r="C199" s="26" t="n"/>
      <c r="D199" s="26" t="n"/>
      <c r="E199" s="34" t="n"/>
      <c r="F199" s="26" t="n"/>
      <c r="G199" s="34" t="n"/>
      <c r="H199" s="62">
        <f>IF(G199="","",IF(G199&gt;TODAY(),"Upcoming",TODAY()-G199))</f>
        <v/>
      </c>
      <c r="I199" s="8">
        <f>IF(F199="","",IF(F199="Unknown","Confirm where it stands",IF(AND(OR(J199=TRUE,J199="Yes"),IFERROR(VALUE(MID(F199,FIND("(",F199)+1,FIND(")",F199,FIND("(",F199))-FIND("(",F199)-1))&gt;=2,FALSE)),"Expedited path: send to final approval",IFERROR(CHOOSE(VALUE(MID(F199,FIND("(",F199)+1,FIND(")",F199,FIND("(",F199))-FIND("(",F199)-1)),"Send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199" s="28" t="n"/>
      <c r="K199" s="34" t="n"/>
      <c r="L199" s="35">
        <f>IF(AND(OR(J199=TRUE,J199="Yes"),ISNUMBER(K199)),K199+30,"")</f>
        <v/>
      </c>
      <c r="M199" s="28" t="n"/>
      <c r="N199" s="26" t="n"/>
      <c r="O199" s="26" t="n"/>
      <c r="P199" s="30" t="n"/>
    </row>
    <row r="200">
      <c r="A200" s="26" t="n"/>
      <c r="B200" s="26" t="n"/>
      <c r="C200" s="26" t="n"/>
      <c r="D200" s="26" t="n"/>
      <c r="E200" s="34" t="n"/>
      <c r="F200" s="26" t="n"/>
      <c r="G200" s="34" t="n"/>
      <c r="H200" s="62">
        <f>IF(G200="","",IF(G200&gt;TODAY(),"Upcoming",TODAY()-G200))</f>
        <v/>
      </c>
      <c r="I200" s="8">
        <f>IF(F200="","",IF(F200="Unknown","Confirm where it stands",IF(AND(OR(J200=TRUE,J200="Yes"),IFERROR(VALUE(MID(F200,FIND("(",F200)+1,FIND(")",F200,FIND("(",F200))-FIND("(",F200)-1))&gt;=2,FALSE)),"Expedited path: send to final approval",IFERROR(CHOOSE(VALUE(MID(F200,FIND("(",F200)+1,FIND(")",F200,FIND("(",F200))-FIND("(",F200)-1)),"Send to initial review","Send to editorial review","Second review","Leadership sign-off","Communications review","Editorial final proof","Senior leadership","Major edits: approval loop. Else legal if needed","Final approval","Publish","Done"),""))))</f>
        <v/>
      </c>
      <c r="J200" s="28" t="n"/>
      <c r="K200" s="34" t="n"/>
      <c r="L200" s="35">
        <f>IF(AND(OR(J200=TRUE,J200="Yes"),ISNUMBER(K200)),K200+30,"")</f>
        <v/>
      </c>
      <c r="M200" s="28" t="n"/>
      <c r="N200" s="26" t="n"/>
      <c r="O200" s="26" t="n"/>
      <c r="P200" s="30" t="n"/>
    </row>
  </sheetData>
  <autoFilter ref="A1:P200"/>
  <conditionalFormatting sqref="A2:P200">
    <cfRule type="expression" priority="1" dxfId="3" stopIfTrue="1">
      <formula>ISNUMBER(SEARCH("(11)",$F2))</formula>
    </cfRule>
    <cfRule type="expression" priority="2" dxfId="4">
      <formula>AND(ISNUMBER($E2),$E2&lt;TODAY(),ISERROR(SEARCH("(11)",$F2)))</formula>
    </cfRule>
  </conditionalFormatting>
  <conditionalFormatting sqref="F2:F200">
    <cfRule type="expression" priority="3" dxfId="5">
      <formula>OR(ISNUMBER(SEARCH("(1)",F2)),ISNUMBER(SEARCH("(2)",F2)),ISNUMBER(SEARCH("(4)",F2)),ISNUMBER(SEARCH("(5)",F2)))</formula>
    </cfRule>
    <cfRule type="expression" priority="4" dxfId="6">
      <formula>OR(ISNUMBER(SEARCH("(3)",F2)),ISNUMBER(SEARCH("(6)",F2)),ISNUMBER(SEARCH("(7)",F2)),ISNUMBER(SEARCH("(8)",F2)))</formula>
    </cfRule>
    <cfRule type="expression" priority="5" dxfId="7">
      <formula>OR(ISNUMBER(SEARCH("(9)",F2)),ISNUMBER(SEARCH("(10)",F2)),ISNUMBER(SEARCH("(11)",F2)))</formula>
    </cfRule>
  </conditionalFormatting>
  <conditionalFormatting sqref="H2:H200">
    <cfRule type="expression" priority="6" dxfId="8">
      <formula>AND(ISNUMBER(H2),H2&gt;2,OR(ISNUMBER(SEARCH("(5)",F2)),ISNUMBER(SEARCH("(8)",F2)),ISNUMBER(SEARCH("(10)",F2))))</formula>
    </cfRule>
  </conditionalFormatting>
  <conditionalFormatting sqref="L2:L200">
    <cfRule type="expression" priority="7" dxfId="9">
      <formula>AND(ISNUMBER(L2),L2-TODAY()&lt;=7)</formula>
    </cfRule>
  </conditionalFormatting>
  <dataValidations count="6">
    <dataValidation sqref="B2:B200" showDropDown="0" showInputMessage="0" showErrorMessage="0" allowBlank="1" type="list">
      <formula1>"Team A,Team B,Team C,Other"</formula1>
    </dataValidation>
    <dataValidation sqref="D2:D200" showDropDown="0" showInputMessage="0" showErrorMessage="0" allowBlank="1" type="list">
      <formula1>"Type A,Type B,Type C,Other"</formula1>
    </dataValidation>
    <dataValidation sqref="F2:F200" showDropDown="0" showInputMessage="0" showErrorMessage="0" allowBlank="1" type="list">
      <formula1>Lists!$A$1:$A$12</formula1>
    </dataValidation>
    <dataValidation sqref="E2:E200" showDropDown="0" showInputMessage="0" showErrorMessage="1" allowBlank="1" error="Enter a date like 10/23/26" type="date" operator="greaterThan">
      <formula1>DATE(2020,1,1)</formula1>
    </dataValidation>
    <dataValidation sqref="G2:G200" showDropDown="0" showInputMessage="0" showErrorMessage="1" allowBlank="1" error="Enter a date like 10/23/26" type="date" operator="greaterThan">
      <formula1>DATE(2020,1,1)</formula1>
    </dataValidation>
    <dataValidation sqref="K2:K200" showDropDown="0" showInputMessage="0" showErrorMessage="1" allowBlank="1" error="Enter a date like 10/23/26" type="date" operator="greaterThan">
      <formula1>DATE(2020,1,1)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0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31" t="inlineStr">
        <is>
          <t>At a glance</t>
        </is>
      </c>
      <c r="B1" s="32" t="n"/>
    </row>
    <row r="2">
      <c r="A2" s="33" t="inlineStr">
        <is>
          <t>Active items</t>
        </is>
      </c>
      <c r="B2" s="33">
        <f>COUNTA(Tracker!A2:A200)-COUNTIF(Tracker!F2:F200,"*(11)*")</f>
        <v/>
      </c>
    </row>
    <row r="3">
      <c r="A3" s="33" t="inlineStr">
        <is>
          <t>Overdue</t>
        </is>
      </c>
      <c r="B3" s="33">
        <f>SUMPRODUCT(ISNUMBER(Tracker!E2:E200)*(Tracker!E2:E200&lt;TODAY())*ISERROR(SEARCH("(11)",Tracker!F2:F200)))</f>
        <v/>
      </c>
    </row>
    <row r="4">
      <c r="A4" s="33" t="inlineStr">
        <is>
          <t>Due in next 7 days</t>
        </is>
      </c>
      <c r="B4" s="33">
        <f>COUNTIFS(Tracker!E2:E200,"&gt;="&amp;TODAY(),Tracker!E2:E200,"&lt;="&amp;TODAY()+7)</f>
        <v/>
      </c>
    </row>
    <row r="5">
      <c r="A5" s="33" t="inlineStr">
        <is>
          <t>Stalled at sign-off stages 5, 8 or 10 (over 2 days)</t>
        </is>
      </c>
      <c r="B5" s="33">
        <f>COUNTIFS(Tracker!F2:F200,"*(5)*",Tracker!H2:H200,"&gt;2")+COUNTIFS(Tracker!F2:F200,"*(8)*",Tracker!H2:H200,"&gt;2")+COUNTIFS(Tracker!F2:F200,"*(10)*",Tracker!H2:H200,"&gt;2")</f>
        <v/>
      </c>
    </row>
    <row r="6">
      <c r="A6" s="33" t="inlineStr">
        <is>
          <t>Expedited deadlines within 7 days</t>
        </is>
      </c>
      <c r="B6" s="33">
        <f>COUNTIFS(Tracker!L2:L200,"&lt;="&amp;TODAY()+7,Tracker!L2:L200,"&gt;0")</f>
        <v/>
      </c>
    </row>
    <row r="7">
      <c r="A7" s="33" t="n"/>
      <c r="B7" s="33" t="n"/>
    </row>
    <row r="8">
      <c r="A8" s="31" t="inlineStr">
        <is>
          <t>Items by stage</t>
        </is>
      </c>
      <c r="B8" s="32" t="n"/>
    </row>
    <row r="9">
      <c r="A9" s="33" t="inlineStr">
        <is>
          <t>Draft (1)</t>
        </is>
      </c>
      <c r="B9" s="33">
        <f>COUNTIF(Tracker!F2:F200,"*(1)*")</f>
        <v/>
      </c>
    </row>
    <row r="10">
      <c r="A10" s="33" t="inlineStr">
        <is>
          <t>Initial review (2)</t>
        </is>
      </c>
      <c r="B10" s="33">
        <f>COUNTIF(Tracker!F2:F200,"*(2)*")</f>
        <v/>
      </c>
    </row>
    <row r="11">
      <c r="A11" s="33" t="inlineStr">
        <is>
          <t>Editorial review (3)</t>
        </is>
      </c>
      <c r="B11" s="33">
        <f>COUNTIF(Tracker!F2:F200,"*(3)*")</f>
        <v/>
      </c>
    </row>
    <row r="12">
      <c r="A12" s="33" t="inlineStr">
        <is>
          <t>Second review (4)</t>
        </is>
      </c>
      <c r="B12" s="33">
        <f>COUNTIF(Tracker!F2:F200,"*(4)*")</f>
        <v/>
      </c>
    </row>
    <row r="13">
      <c r="A13" s="33" t="inlineStr">
        <is>
          <t>Leadership sign-off (5)</t>
        </is>
      </c>
      <c r="B13" s="33">
        <f>COUNTIF(Tracker!F2:F200,"*(5)*")</f>
        <v/>
      </c>
    </row>
    <row r="14">
      <c r="A14" s="33" t="inlineStr">
        <is>
          <t>Communications review (6)</t>
        </is>
      </c>
      <c r="B14" s="33">
        <f>COUNTIF(Tracker!F2:F200,"*(6)*")</f>
        <v/>
      </c>
    </row>
    <row r="15">
      <c r="A15" s="33" t="inlineStr">
        <is>
          <t>Editorial final proof (7)</t>
        </is>
      </c>
      <c r="B15" s="33">
        <f>COUNTIF(Tracker!F2:F200,"*(7)*")</f>
        <v/>
      </c>
    </row>
    <row r="16">
      <c r="A16" s="33" t="inlineStr">
        <is>
          <t>Senior leadership (8)</t>
        </is>
      </c>
      <c r="B16" s="33">
        <f>COUNTIF(Tracker!F2:F200,"*(8)*")</f>
        <v/>
      </c>
    </row>
    <row r="17">
      <c r="A17" s="33" t="inlineStr">
        <is>
          <t>Legal review (if needed) (9)</t>
        </is>
      </c>
      <c r="B17" s="33">
        <f>COUNTIF(Tracker!F2:F200,"*(9)*")</f>
        <v/>
      </c>
    </row>
    <row r="18">
      <c r="A18" s="33" t="inlineStr">
        <is>
          <t>Final approval (10)</t>
        </is>
      </c>
      <c r="B18" s="33">
        <f>COUNTIF(Tracker!F2:F200,"*(10)*")</f>
        <v/>
      </c>
    </row>
    <row r="19">
      <c r="A19" s="33" t="inlineStr">
        <is>
          <t>Publish (11)</t>
        </is>
      </c>
      <c r="B19" s="33">
        <f>COUNTIF(Tracker!F2:F200,"*(11)*")</f>
        <v/>
      </c>
    </row>
    <row r="20">
      <c r="A20" s="33" t="n"/>
      <c r="B20" s="33" t="n"/>
    </row>
    <row r="21">
      <c r="A21" s="33" t="n"/>
      <c r="B21" s="33" t="n"/>
    </row>
    <row r="22">
      <c r="A22" s="31" t="inlineStr">
        <is>
          <t>Overdue items</t>
        </is>
      </c>
      <c r="B22" s="32" t="n"/>
    </row>
    <row r="23">
      <c r="A23" s="36">
        <f t="array" ref="A23">IFERROR(_xlfn.TEXTJOIN(", ",TRUE,IF(ISNUMBER(Tracker!E2:E200)*(Tracker!E2:E200&lt;TODAY())*ISERROR(SEARCH("(11)",Tracker!F2:F200)),Tracker!A2:A200,"")),"")</f>
        <v/>
      </c>
      <c r="B23" s="33" t="n"/>
    </row>
    <row r="24">
      <c r="A24" s="33" t="n"/>
      <c r="B24" s="33" t="n"/>
    </row>
    <row r="25">
      <c r="A25" s="33" t="n"/>
      <c r="B25" s="33" t="n"/>
    </row>
    <row r="26">
      <c r="A26" s="33" t="n"/>
      <c r="B26" s="33" t="n"/>
    </row>
    <row r="27">
      <c r="A27" s="33" t="n"/>
      <c r="B27" s="33" t="n"/>
    </row>
    <row r="28">
      <c r="A28" s="33" t="n"/>
      <c r="B28" s="33" t="n"/>
    </row>
    <row r="29">
      <c r="A29" s="31" t="inlineStr">
        <is>
          <t>Due in next 7 days</t>
        </is>
      </c>
      <c r="B29" s="32" t="n"/>
    </row>
    <row r="30">
      <c r="A30" s="36">
        <f t="array" ref="A30">IFERROR(_xlfn.TEXTJOIN(", ",TRUE,IF(ISNUMBER(Tracker!E2:E200)*(Tracker!E2:E200&gt;=TODAY())*(Tracker!E2:E200&lt;=TODAY()+7),Tracker!A2:A200,"")),"")</f>
        <v/>
      </c>
      <c r="B30" s="33" t="n"/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Unknown</t>
        </is>
      </c>
    </row>
    <row r="2">
      <c r="A2" t="inlineStr">
        <is>
          <t>Draft (1)</t>
        </is>
      </c>
    </row>
    <row r="3">
      <c r="A3" t="inlineStr">
        <is>
          <t>Initial review (2)</t>
        </is>
      </c>
    </row>
    <row r="4">
      <c r="A4" t="inlineStr">
        <is>
          <t>Editorial review (3)</t>
        </is>
      </c>
    </row>
    <row r="5">
      <c r="A5" t="inlineStr">
        <is>
          <t>Second review (4)</t>
        </is>
      </c>
    </row>
    <row r="6">
      <c r="A6" t="inlineStr">
        <is>
          <t>Leadership sign-off (5)</t>
        </is>
      </c>
    </row>
    <row r="7">
      <c r="A7" t="inlineStr">
        <is>
          <t>Communications review (6)</t>
        </is>
      </c>
    </row>
    <row r="8">
      <c r="A8" t="inlineStr">
        <is>
          <t>Editorial final proof (7)</t>
        </is>
      </c>
    </row>
    <row r="9">
      <c r="A9" t="inlineStr">
        <is>
          <t>Senior leadership (8)</t>
        </is>
      </c>
    </row>
    <row r="10">
      <c r="A10" t="inlineStr">
        <is>
          <t>Legal review (if needed) (9)</t>
        </is>
      </c>
    </row>
    <row r="11">
      <c r="A11" t="inlineStr">
        <is>
          <t>Final approval (10)</t>
        </is>
      </c>
    </row>
    <row r="12">
      <c r="A12" t="inlineStr">
        <is>
          <t>Publish (11)</t>
        </is>
      </c>
    </row>
  </sheetData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0" customWidth="1" min="3" max="3"/>
  </cols>
  <sheetData>
    <row r="1">
      <c r="A1" s="52" t="inlineStr">
        <is>
          <t>Sign-off Log</t>
        </is>
      </c>
    </row>
    <row r="2">
      <c r="A2" t="inlineStr">
        <is>
          <t>Last Updated:</t>
        </is>
      </c>
      <c r="B2" s="61">
        <f>NOW()</f>
        <v/>
      </c>
    </row>
    <row r="3">
      <c r="A3" s="54" t="inlineStr">
        <is>
          <t>Step</t>
        </is>
      </c>
      <c r="B3" s="54" t="inlineStr">
        <is>
          <t>Reviewer (name)</t>
        </is>
      </c>
      <c r="C3" s="54" t="inlineStr">
        <is>
          <t>Date (MM/DD/YYYY)</t>
        </is>
      </c>
    </row>
    <row r="4">
      <c r="A4" t="inlineStr">
        <is>
          <t>Step 1: Draft</t>
        </is>
      </c>
    </row>
    <row r="5">
      <c r="A5" t="inlineStr">
        <is>
          <t>Step 2: Initial review</t>
        </is>
      </c>
    </row>
    <row r="6">
      <c r="A6" t="inlineStr">
        <is>
          <t>Step 3: Editorial review</t>
        </is>
      </c>
    </row>
    <row r="7">
      <c r="A7" t="inlineStr">
        <is>
          <t>Step 4: Second review</t>
        </is>
      </c>
    </row>
    <row r="8">
      <c r="A8" t="inlineStr">
        <is>
          <t>Step 5: Leadership sign-off</t>
        </is>
      </c>
    </row>
    <row r="9">
      <c r="A9" t="inlineStr">
        <is>
          <t>Step 6: Communications review</t>
        </is>
      </c>
    </row>
    <row r="10">
      <c r="A10" t="inlineStr">
        <is>
          <t>Step 7: Editorial final proof</t>
        </is>
      </c>
    </row>
    <row r="11">
      <c r="A11" t="inlineStr">
        <is>
          <t>Step 8: Senior leadership</t>
        </is>
      </c>
    </row>
    <row r="12">
      <c r="A12" t="inlineStr">
        <is>
          <t>Step 9: Legal review (if needed)</t>
        </is>
      </c>
    </row>
    <row r="13">
      <c r="A13" t="inlineStr">
        <is>
          <t>Step 10: Final approval</t>
        </is>
      </c>
    </row>
    <row r="14">
      <c r="A14" t="inlineStr">
        <is>
          <t>Step 11: 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Template</dc:creator>
  <dc:title xmlns:dc="http://purl.org/dc/elements/1.1/">Template</dc:title>
  <dcterms:created xmlns:dcterms="http://purl.org/dc/terms/" xmlns:xsi="http://www.w3.org/2001/XMLSchema-instance" xsi:type="dcterms:W3CDTF">2026-10-22T19:07:20Z</dcterms:created>
  <dcterms:modified xmlns:dcterms="http://purl.org/dc/terms/" xmlns:xsi="http://www.w3.org/2001/XMLSchema-instance" xsi:type="dcterms:W3CDTF">2026-10-23T20:12:49Z</dcterms:modified>
  <cp:lastModifiedBy>Template</cp:lastModifiedBy>
</cp:coreProperties>
</file>